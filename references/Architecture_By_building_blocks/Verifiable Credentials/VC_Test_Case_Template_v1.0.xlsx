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amp; Guidelines" sheetId="1" r:id="rId4"/>
    <sheet state="visible" name="Quick Reference" sheetId="2" r:id="rId5"/>
    <sheet state="visible" name="Test Summary Dashboard" sheetId="3" r:id="rId6"/>
    <sheet state="visible" name="All Test Cases" sheetId="4" r:id="rId7"/>
    <sheet state="visible" name="Priority 1 - Critical" sheetId="5" r:id="rId8"/>
    <sheet state="visible" name="Priority 2 - Important" sheetId="6" r:id="rId9"/>
    <sheet state="visible" name="Priority 3 - Enhanced" sheetId="7" r:id="rId10"/>
  </sheets>
  <definedNames/>
  <calcPr/>
  <extLst>
    <ext uri="GoogleSheetsCustomDataVersion2">
      <go:sheetsCustomData xmlns:go="http://customooxmlschemas.google.com/" r:id="rId11" roundtripDataChecksum="+1o5u/6maQd5IFMIkTH5aI62iRrvSr0VWsg/wUEXjT4="/>
    </ext>
  </extLst>
</workbook>
</file>

<file path=xl/sharedStrings.xml><?xml version="1.0" encoding="utf-8"?>
<sst xmlns="http://schemas.openxmlformats.org/spreadsheetml/2006/main" count="2328" uniqueCount="732">
  <si>
    <t>Verifiable Credential Infrastructure - Test Case Template</t>
  </si>
  <si>
    <t>Description:</t>
  </si>
  <si>
    <t>This template provides a comprehensive test suite for Verifiable Credential (VC) infrastructure implementations based on W3C Verifiable Credentials standards. It covers all critical aspects of credential issuance, verification, revocation, and management.</t>
  </si>
  <si>
    <t>Purpose:</t>
  </si>
  <si>
    <t>To provide service providers, governments, and implementers with a standardized test framework for validating their VC systems before production deployment.</t>
  </si>
  <si>
    <t>Standards Covered:</t>
  </si>
  <si>
    <t>• W3C Verifiable Credentials Data Model 1.1 &amp; 2.0
• W3C Decentralized Identifiers (DIDs)
• StatusList2021 (Revocation)
• JSON Web Tokens (JWT) for VCs
• JSON-LD &amp; SD-JWT formats
• OpenID4VCI (OpenID for Verifiable Credential Issuance)</t>
  </si>
  <si>
    <t>Test Priority Levels:</t>
  </si>
  <si>
    <t>Priority 1 (Must Have)</t>
  </si>
  <si>
    <t>Critical tests required for production. These cover security, signature verification, revocation, and trust validation.</t>
  </si>
  <si>
    <t>Priority 2 (Should Have)</t>
  </si>
  <si>
    <t>Important tests for robustness including cross-border interoperability, offline scenarios, and audit logging.</t>
  </si>
  <si>
    <t>Priority 3 (Nice to Have)</t>
  </si>
  <si>
    <t>Enhanced quality tests including performance, privacy protection, and advanced security scenarios.</t>
  </si>
  <si>
    <t>Test Type Definitions:</t>
  </si>
  <si>
    <t>Unit</t>
  </si>
  <si>
    <t>Fast, isolated tests of individual functions. Run on every code commit.</t>
  </si>
  <si>
    <t>Integration</t>
  </si>
  <si>
    <t>Tests interaction between components. Use real databases and services in test environment.</t>
  </si>
  <si>
    <t>E2E</t>
  </si>
  <si>
    <t>End-to-end tests of complete workflows. Test full system from UI to database.</t>
  </si>
  <si>
    <t>Manual</t>
  </si>
  <si>
    <t>Tests requiring human judgment, security expertise, or physical devices.</t>
  </si>
  <si>
    <t>How to Use This Template:</t>
  </si>
  <si>
    <t>1. Review all test cases across the different sheets
2. Customize test cases to match your specific implementation (credential types, DIDs, trust registry)
3. Mark test cases as applicable or not applicable to your use case
4. Add implementation-specific test data in the Preconditions and Test Steps
5. Execute tests according to the recommended Test Type (Unit, Integration, E2E, Manual)
6. Update Status column as you execute tests (Not Started, In Progress, Passed, Failed, Blocked)
7. Document any deviations or additional test cases in the Notes column</t>
  </si>
  <si>
    <t>Version:</t>
  </si>
  <si>
    <t>1.0</t>
  </si>
  <si>
    <t>Last Updated:</t>
  </si>
  <si>
    <t>License:</t>
  </si>
  <si>
    <t>Creative Commons CC-BY 4.0 - Free to use and adapt with attribution</t>
  </si>
  <si>
    <t>Verifiable Credential Test Case Quick Reference</t>
  </si>
  <si>
    <t>Test Execution Guide</t>
  </si>
  <si>
    <t>STEP 1: Review Test Scope
• Start with "Priority 1 - Critical" sheet (must pass before production)
• Focus on: Signature verification, revocation, DID resolution, trust registry
STEP 2: Customize Test Cases
• Replace generic values with your implementation specifics:
  - DID methods (did:web, did:key, etc.)
  - Issuer names and DIDs
  - Credential schemas and types
  - Trust registry URLs
STEP 3: Execute by Type
• Unit Tests: Run on every commit
• Integration Tests: Run before deployment
• E2E Tests: Run for releases
• Manual Tests: Security audits
STEP 4: Track Progress
• Update Status column
• Use Notes for defect tracking
• Monitor Summary Dashboard</t>
  </si>
  <si>
    <t>Test Coverage by Component</t>
  </si>
  <si>
    <t>Component</t>
  </si>
  <si>
    <t>Description</t>
  </si>
  <si>
    <t>Signature Verification</t>
  </si>
  <si>
    <t>Cryptographic validation, tamper detection, key management</t>
  </si>
  <si>
    <t>DID Resolution</t>
  </si>
  <si>
    <t>DID resolution, document validation, lifecycle management</t>
  </si>
  <si>
    <t>Trust Registry</t>
  </si>
  <si>
    <t>Issuer trust validation, authorization, regional registries</t>
  </si>
  <si>
    <t>Revocation Management</t>
  </si>
  <si>
    <t>StatusList2021, cache handling, offline scenarios</t>
  </si>
  <si>
    <t>Credential Issuance</t>
  </si>
  <si>
    <t>Single and bulk issuance, schema management</t>
  </si>
  <si>
    <t>Credential Verification</t>
  </si>
  <si>
    <t>QR scan/upload, verification workflows</t>
  </si>
  <si>
    <t>Mobile Wallet</t>
  </si>
  <si>
    <t>Download, storage, sharing, backup, security</t>
  </si>
  <si>
    <t>Cross-Border</t>
  </si>
  <si>
    <t>International credential verification, interoperability</t>
  </si>
  <si>
    <t>Test Summary Dashboard</t>
  </si>
  <si>
    <t>Test Cases by Priority</t>
  </si>
  <si>
    <t>Priority Level</t>
  </si>
  <si>
    <t>Total Tests</t>
  </si>
  <si>
    <t>Passed</t>
  </si>
  <si>
    <t>Failed</t>
  </si>
  <si>
    <t>Not Started</t>
  </si>
  <si>
    <t>Test Cases by Category</t>
  </si>
  <si>
    <t>Category</t>
  </si>
  <si>
    <t>Expiration &amp; Validity</t>
  </si>
  <si>
    <t>Cross-Border Interoperability</t>
  </si>
  <si>
    <t>Schema Validation</t>
  </si>
  <si>
    <t>Offline Scenarios</t>
  </si>
  <si>
    <t>Security &amp; Privacy</t>
  </si>
  <si>
    <t>Performance &amp; Scale</t>
  </si>
  <si>
    <t>Test Cases by Test Type</t>
  </si>
  <si>
    <t>Test Type</t>
  </si>
  <si>
    <t>Percentage</t>
  </si>
  <si>
    <t>Test Case ID</t>
  </si>
  <si>
    <t>Priority</t>
  </si>
  <si>
    <t>Test Case Description</t>
  </si>
  <si>
    <t>Preconditions</t>
  </si>
  <si>
    <t>Test Steps</t>
  </si>
  <si>
    <t>Expected Results</t>
  </si>
  <si>
    <t>Status</t>
  </si>
  <si>
    <t>Notes</t>
  </si>
  <si>
    <t>VC-SIG-001</t>
  </si>
  <si>
    <t>Cryptographic Validation</t>
  </si>
  <si>
    <t>Verify rejection of credential with tampered signature</t>
  </si>
  <si>
    <t>Valid credential with modified signature value</t>
  </si>
  <si>
    <t>1. Obtain a valid verifiable credential
2. Modify the signature field (proof.jws or proof.proofValue)
3. Attempt to verify the credential using the verification API</t>
  </si>
  <si>
    <t>Verification fails with error message "Invalid signature" or similar. System rejects credential.</t>
  </si>
  <si>
    <t>Tests core cryptographic verification</t>
  </si>
  <si>
    <t>VC-SIG-002</t>
  </si>
  <si>
    <t>Verify rejection of credential with tampered data</t>
  </si>
  <si>
    <t>Valid credential with modified credentialSubject data but original signature intact</t>
  </si>
  <si>
    <t>1. Obtain a valid credential
2. Modify a field in credentialSubject (e.g., name or ID)
3. Keep the original signature unchanged
4. Attempt to verify the credential</t>
  </si>
  <si>
    <t>Signature verification fails because data hash does not match signature. Credential rejected.</t>
  </si>
  <si>
    <t>Ensures integrity protection</t>
  </si>
  <si>
    <t>VC-SIG-003</t>
  </si>
  <si>
    <t>Key Management</t>
  </si>
  <si>
    <t>Verify credential with expired signing key</t>
  </si>
  <si>
    <t>Credential signed with a key that has passed its expiration date</t>
  </si>
  <si>
    <t>1. Present credential signed with expired key
2. System checks key expiration in DID document or key metadata
3. Attempt verification</t>
  </si>
  <si>
    <t>Verification fails with "Signing key expired" error</t>
  </si>
  <si>
    <t>Key lifecycle validation</t>
  </si>
  <si>
    <t>VC-SIG-004</t>
  </si>
  <si>
    <t>Verify credential with revoked signing key</t>
  </si>
  <si>
    <t>Issuer has revoked the key used to sign the credential</t>
  </si>
  <si>
    <t>1. Present credential signed with now-revoked key
2. System checks key revocation status
3. Attempt verification</t>
  </si>
  <si>
    <t>Verification fails with "Signing key revoked" error</t>
  </si>
  <si>
    <t>Key revocation handling</t>
  </si>
  <si>
    <t>VC-SIG-005</t>
  </si>
  <si>
    <t>Verify credential after issuer key rotation</t>
  </si>
  <si>
    <t>Credential signed with old key, issuer has rotated to new key</t>
  </si>
  <si>
    <t>1. Present credential signed with previous valid key
2. Verify against current issuer DID document
3. Old key should still be in DID document history</t>
  </si>
  <si>
    <t>Verification succeeds if old key is still valid in DID document</t>
  </si>
  <si>
    <t>Key rotation backward compatibility</t>
  </si>
  <si>
    <t>VC-SIG-006</t>
  </si>
  <si>
    <t>Algorithm Validation</t>
  </si>
  <si>
    <t>Verify credential with unsupported signature algorithm</t>
  </si>
  <si>
    <t>Credential signed with algorithm not in supported list</t>
  </si>
  <si>
    <t>1. Present credential with unsupported "alg" (e.g., RS256 if only ES256K supported)
2. Attempt verification</t>
  </si>
  <si>
    <t>Verification fails with "Unsupported algorithm" error</t>
  </si>
  <si>
    <t>Algorithm allowlist enforcement</t>
  </si>
  <si>
    <t>VC-REV-001</t>
  </si>
  <si>
    <t>StatusList2021</t>
  </si>
  <si>
    <t>Verify handling when StatusList2021 endpoint is unreachable</t>
  </si>
  <si>
    <t>Valid credential with credentialStatus pointing to unreachable endpoint</t>
  </si>
  <si>
    <t>1. Present valid credential
2. StatusList2021 URL returns 404 or 503
3. Attempt verification</t>
  </si>
  <si>
    <t>System behavior depends on policy: Either fail closed (reject credential) or allow with warning "Revocation status unknown"</t>
  </si>
  <si>
    <t>Network resilience for revocation</t>
  </si>
  <si>
    <t>VC-REV-002</t>
  </si>
  <si>
    <t>Verify handling when StatusList2021 returns malformed data</t>
  </si>
  <si>
    <t>Status list endpoint returns invalid or corrupted bitstring</t>
  </si>
  <si>
    <t>1. Present credential
2. StatusList endpoint returns corrupted/invalid data
3. Attempt verification</t>
  </si>
  <si>
    <t>Verification fails with "Cannot determine revocation status" error</t>
  </si>
  <si>
    <t>Data integrity validation</t>
  </si>
  <si>
    <t>VC-REV-003</t>
  </si>
  <si>
    <t>Verify handling when StatusList2021 times out</t>
  </si>
  <si>
    <t>Status list endpoint has high latency (&gt;30 seconds)</t>
  </si>
  <si>
    <t>1. Present credential
2. StatusList request times out
3. Attempt verification</t>
  </si>
  <si>
    <t>Verification fails or succeeds with warning based on timeout policy</t>
  </si>
  <si>
    <t>Timeout handling</t>
  </si>
  <si>
    <t>VC-REV-004</t>
  </si>
  <si>
    <t>Caching</t>
  </si>
  <si>
    <t>Verify stale revocation cache handling</t>
  </si>
  <si>
    <t>Cached revocation list is outdated</t>
  </si>
  <si>
    <t>1. System has cached revocation list from 24 hours ago
2. Credential was revoked 1 hour ago
3. Present credential for verification</t>
  </si>
  <si>
    <t>System fetches fresh revocation list, detects revocation, rejects credential</t>
  </si>
  <si>
    <t>Cache freshness validation</t>
  </si>
  <si>
    <t>VC-REV-005</t>
  </si>
  <si>
    <t>Timing</t>
  </si>
  <si>
    <t>Verify credential revoked between issuance and first verification</t>
  </si>
  <si>
    <t>Credential issued and immediately revoked before first use</t>
  </si>
  <si>
    <t>1. Issue credential
2. Revoke credential within same minute
3. User presents credential for first time</t>
  </si>
  <si>
    <t>Verification detects revocation, credential rejected</t>
  </si>
  <si>
    <t>Race condition handling</t>
  </si>
  <si>
    <t>VC-REV-006</t>
  </si>
  <si>
    <t>Batch Operations</t>
  </si>
  <si>
    <t>Verify batch revocation impact</t>
  </si>
  <si>
    <t>Multiple credentials from same institution revoked simultaneously</t>
  </si>
  <si>
    <t>1. Revoke 100 credentials simultaneously
2. Verify status list is updated correctly
3. Attempt to verify any revoked credential</t>
  </si>
  <si>
    <t>All revoked credentials properly rejected</t>
  </si>
  <si>
    <t>Bulk revocation handling</t>
  </si>
  <si>
    <t>VC-REV-007</t>
  </si>
  <si>
    <t>Optional Fields</t>
  </si>
  <si>
    <t>Verify credential with missing credentialStatus field</t>
  </si>
  <si>
    <t>Credential issued without credentialStatus property</t>
  </si>
  <si>
    <t>1. Present credential without credentialStatus
2. Attempt verification</t>
  </si>
  <si>
    <t>Verification succeeds but flags "Revocation status cannot be checked"</t>
  </si>
  <si>
    <t>Optional field handling</t>
  </si>
  <si>
    <t>VC-EXP-001</t>
  </si>
  <si>
    <t>Date Validation</t>
  </si>
  <si>
    <t>Verify rejection of credential past expirationDate</t>
  </si>
  <si>
    <t>Credential with expirationDate in the past</t>
  </si>
  <si>
    <t>1. Present credential with expirationDate = yesterday
2. Attempt verification</t>
  </si>
  <si>
    <t>Verification fails with "Credential expired on [date]" error</t>
  </si>
  <si>
    <t>Expiration enforcement</t>
  </si>
  <si>
    <t>VC-EXP-002</t>
  </si>
  <si>
    <t>Verify credential expiring today (edge case)</t>
  </si>
  <si>
    <t>Credential with expirationDate = current date</t>
  </si>
  <si>
    <t>1. Present credential on expiration date
2. Verify at different times (00:01, 12:00, 23:59)</t>
  </si>
  <si>
    <t>Clear policy applied: expires at start or end of day consistently</t>
  </si>
  <si>
    <t>Boundary condition testing</t>
  </si>
  <si>
    <t>VC-EXP-003</t>
  </si>
  <si>
    <t>Verify credential with future issuanceDate</t>
  </si>
  <si>
    <t>Credential with issuanceDate in the future</t>
  </si>
  <si>
    <t>1. Present credential with issuanceDate = tomorrow
2. Attempt verification</t>
  </si>
  <si>
    <t>Verification fails with "Credential not yet valid" error</t>
  </si>
  <si>
    <t>Future date validation</t>
  </si>
  <si>
    <t>VC-EXP-004</t>
  </si>
  <si>
    <t>Verify credential without expirationDate</t>
  </si>
  <si>
    <t>Credential with no expirationDate field</t>
  </si>
  <si>
    <t>1. Present credential without expirationDate
2. Attempt verification</t>
  </si>
  <si>
    <t>Verification succeeds (credential does not expire)</t>
  </si>
  <si>
    <t>Non-expiring credentials</t>
  </si>
  <si>
    <t>VC-EXP-005</t>
  </si>
  <si>
    <t>Data Format</t>
  </si>
  <si>
    <t>Verify credential with malformed date format</t>
  </si>
  <si>
    <t>Credential with invalid ISO8601 date</t>
  </si>
  <si>
    <t>1. Present credential with expirationDate = "2024-13-45T25:99:99Z"
2. Attempt verification</t>
  </si>
  <si>
    <t>Verification fails with "Invalid date format" error</t>
  </si>
  <si>
    <t>Date parsing error handling</t>
  </si>
  <si>
    <t>VC-EXP-006</t>
  </si>
  <si>
    <t>Internationalization</t>
  </si>
  <si>
    <t>Verify credential expiration across timezones</t>
  </si>
  <si>
    <t>Credential issued in UTC, verified in different timezone</t>
  </si>
  <si>
    <t>1. Issue credential expiring at 2025-01-01T00:00:00Z
2. Verify in UTC-4 timezone on Dec 31, 2024 at 21:00 local
3. Check validity</t>
  </si>
  <si>
    <t>Credential still valid (respects UTC timestamp)</t>
  </si>
  <si>
    <t>Timezone handling</t>
  </si>
  <si>
    <t>VC-DID-001</t>
  </si>
  <si>
    <t>DID Resolver</t>
  </si>
  <si>
    <t>Verify handling when issuer DID cannot be resolved</t>
  </si>
  <si>
    <t>Credential with issuer DID that does not resolve</t>
  </si>
  <si>
    <t>1. Present credential with issuer = "did:web:nonexistent.example.com"
2. DID resolver returns 404
3. Attempt verification</t>
  </si>
  <si>
    <t>Verification fails with "Cannot resolve issuer DID" error</t>
  </si>
  <si>
    <t>DID resolution failure handling</t>
  </si>
  <si>
    <t>VC-DID-002</t>
  </si>
  <si>
    <t>DID Syntax</t>
  </si>
  <si>
    <t>Verify handling of malformed DID</t>
  </si>
  <si>
    <t>Credential with syntactically invalid DID</t>
  </si>
  <si>
    <t>1. Present credential with issuer = "did:invalidmethod:xyz"
2. Attempt verification</t>
  </si>
  <si>
    <t>Verification fails with "Invalid DID format" error</t>
  </si>
  <si>
    <t>DID syntax validation</t>
  </si>
  <si>
    <t>VC-DID-003</t>
  </si>
  <si>
    <t>DID Document</t>
  </si>
  <si>
    <t>Verify DID document without verification method</t>
  </si>
  <si>
    <t>DID document missing verificationMethod array</t>
  </si>
  <si>
    <t>1. Present credential
2. Issuer DID document has no verificationMethod
3. Attempt verification</t>
  </si>
  <si>
    <t>Verification fails with "No verification methods found" error</t>
  </si>
  <si>
    <t>DID document validation</t>
  </si>
  <si>
    <t>VC-DID-004</t>
  </si>
  <si>
    <t>Key Lookup</t>
  </si>
  <si>
    <t>Verify credential signed with key not in DID document</t>
  </si>
  <si>
    <t>Signature key ID not listed in DID document</t>
  </si>
  <si>
    <t>1. Credential signed with key "did:web:example.com#key-99"
2. DID document only contains keys #key-1, #key-2
3. Attempt verification</t>
  </si>
  <si>
    <t>Verification fails with "Signing key not found in DID document" error</t>
  </si>
  <si>
    <t>Key verification</t>
  </si>
  <si>
    <t>VC-DID-005</t>
  </si>
  <si>
    <t>Timeout</t>
  </si>
  <si>
    <t>Verify DID resolution timeout</t>
  </si>
  <si>
    <t>DID resolver has high latency</t>
  </si>
  <si>
    <t>1. Present credential
2. DID resolution takes &gt;30 seconds
3. Attempt verification</t>
  </si>
  <si>
    <t>Verification fails with "DID resolution timeout" error</t>
  </si>
  <si>
    <t>VC-DID-006</t>
  </si>
  <si>
    <t>DID Methods</t>
  </si>
  <si>
    <t>Verify unsupported DID method</t>
  </si>
  <si>
    <t>Credential uses DID method not supported by verifier</t>
  </si>
  <si>
    <t>1. Present credential with issuer = "did:ion:xyz" (if only did:web supported)
2. Attempt verification</t>
  </si>
  <si>
    <t>Verification fails with "Unsupported DID method: ion" error</t>
  </si>
  <si>
    <t>DID method support</t>
  </si>
  <si>
    <t>VC-DID-007</t>
  </si>
  <si>
    <t>DID Lifecycle</t>
  </si>
  <si>
    <t>Verify DID deactivation</t>
  </si>
  <si>
    <t>Issuer DID has been deactivated</t>
  </si>
  <si>
    <t>1. Present credential from deactivated issuer DID
2. DID document shows deactivated status
3. Attempt verification</t>
  </si>
  <si>
    <t>Verification fails with "Issuer DID is deactivated" error</t>
  </si>
  <si>
    <t>DID deactivation handling</t>
  </si>
  <si>
    <t>VC-TRUST-001</t>
  </si>
  <si>
    <t>Registry Lookup</t>
  </si>
  <si>
    <t>Verify rejection of credential from issuer not in trust registry</t>
  </si>
  <si>
    <t>Valid credential from non-trusted issuer</t>
  </si>
  <si>
    <t>1. Present credential from issuer DID not in trust registry
2. Attempt verification</t>
  </si>
  <si>
    <t>Verification fails with "Issuer not in trust registry" error</t>
  </si>
  <si>
    <t>Trust registry enforcement</t>
  </si>
  <si>
    <t>VC-TRUST-002</t>
  </si>
  <si>
    <t>Availability</t>
  </si>
  <si>
    <t>Verify trust registry unavailable</t>
  </si>
  <si>
    <t>Trust registry endpoint is down</t>
  </si>
  <si>
    <t>1. Present credential
2. Trust registry API returns 503
3. Attempt verification</t>
  </si>
  <si>
    <t>Verification fails (fail closed for security)</t>
  </si>
  <si>
    <t>Registry availability</t>
  </si>
  <si>
    <t>VC-TRUST-003</t>
  </si>
  <si>
    <t>Status Changes</t>
  </si>
  <si>
    <t>Verify issuer removed from trust registry</t>
  </si>
  <si>
    <t>Issuer was trusted but now removed</t>
  </si>
  <si>
    <t>1. Present credential from issuer
2. Issuer no longer in current trust registry
3. Attempt verification</t>
  </si>
  <si>
    <t>Verification fails with "Issuer no longer trusted" error</t>
  </si>
  <si>
    <t>Registry updates</t>
  </si>
  <si>
    <t>VC-TRUST-004</t>
  </si>
  <si>
    <t>Issuer Status</t>
  </si>
  <si>
    <t>Verify issuer suspended in trust registry</t>
  </si>
  <si>
    <t>Issuer status = "suspended" in registry</t>
  </si>
  <si>
    <t>1. Present credential
2. Check trust registry shows issuer status as suspended
3. Attempt verification</t>
  </si>
  <si>
    <t>Verification fails with "Issuer is suspended" error</t>
  </si>
  <si>
    <t>Status validation</t>
  </si>
  <si>
    <t>VC-TRUST-005</t>
  </si>
  <si>
    <t>Authorization</t>
  </si>
  <si>
    <t>Verify credential type not authorized for issuer</t>
  </si>
  <si>
    <t>Issuer only authorized for specific credential types</t>
  </si>
  <si>
    <t>1. Present DriversLicense credential from university issuer
2. Trust registry shows issuer only authorized for academic credentials
3. Attempt verification</t>
  </si>
  <si>
    <t>Verification fails with "Issuer not authorized for this credential type" error</t>
  </si>
  <si>
    <t>Authorization matrix</t>
  </si>
  <si>
    <t>VC-TRUST-006</t>
  </si>
  <si>
    <t>Verify stale trust registry cache</t>
  </si>
  <si>
    <t>Local trust registry cache is outdated</t>
  </si>
  <si>
    <t>1. System has 48-hour-old trust registry cache
2. Issuer was added to registry yesterday
3. Present credential from new issuer</t>
  </si>
  <si>
    <t>System refreshes trust registry, validates issuer successfully</t>
  </si>
  <si>
    <t>Cache management</t>
  </si>
  <si>
    <t>VC-TRUST-007</t>
  </si>
  <si>
    <t>Regional Registry</t>
  </si>
  <si>
    <t>Verify cross-border trust registry</t>
  </si>
  <si>
    <t>Credential from foreign issuer verified against regional registry</t>
  </si>
  <si>
    <t>1. Present credential from Country B issuer in Country A
2. Verify against regional trust registry
3. Check issuer is in both national and regional registry</t>
  </si>
  <si>
    <t>Verification succeeds, issuer found in regional registry</t>
  </si>
  <si>
    <t>Regional interoperability</t>
  </si>
  <si>
    <t>VC-TRUST-008</t>
  </si>
  <si>
    <t>Versioning</t>
  </si>
  <si>
    <t>Verify trust framework version compatibility</t>
  </si>
  <si>
    <t>Credential issued under older trust framework version</t>
  </si>
  <si>
    <t>1. Present credential with trustFramework = "FRAMEWORK-v1.0"
2. Current system uses "FRAMEWORK-v2.0"
3. Attempt verification</t>
  </si>
  <si>
    <t>System checks compatibility matrix, accepts if backward compatible</t>
  </si>
  <si>
    <t>Version compatibility</t>
  </si>
  <si>
    <t>VC-XBORDER-001</t>
  </si>
  <si>
    <t>International Verification</t>
  </si>
  <si>
    <t>Verify credential from foreign country</t>
  </si>
  <si>
    <t>Valid credential from foreign issuer</t>
  </si>
  <si>
    <t>1. Present credential from Country B to Country A verifier
2. Verify issuer DID is resolvable
3. Check against regional trust registry</t>
  </si>
  <si>
    <t>Credential verified successfully, issuer validated in regional registry</t>
  </si>
  <si>
    <t>Critical for regional integration</t>
  </si>
  <si>
    <t>VC-XBORDER-002</t>
  </si>
  <si>
    <t>Verify credential with multiple language fields</t>
  </si>
  <si>
    <t>Credential with both English and other language text</t>
  </si>
  <si>
    <t>1. Present credential with multilingual fields
2. Verify in system with different locale
3. Check proper display</t>
  </si>
  <si>
    <t>System displays appropriate language, both validate correctly</t>
  </si>
  <si>
    <t>Multilingual support</t>
  </si>
  <si>
    <t>VC-XBORDER-003</t>
  </si>
  <si>
    <t>Schema Compatibility</t>
  </si>
  <si>
    <t>Verify credential schema from different country</t>
  </si>
  <si>
    <t>Foreign country uses slightly different schema version</t>
  </si>
  <si>
    <t>1. Present credential with schema v1.1
2. Local system expects schema v1.0
3. Schemas are compatible (superset)</t>
  </si>
  <si>
    <t>Verification succeeds with schema compatibility check</t>
  </si>
  <si>
    <t>Schema interoperability</t>
  </si>
  <si>
    <t>VC-XBORDER-004</t>
  </si>
  <si>
    <t>Registry Hierarchy</t>
  </si>
  <si>
    <t>Verify regional vs national trust registry precedence</t>
  </si>
  <si>
    <t>Issuer in regional registry but not national registry</t>
  </si>
  <si>
    <t>1. Present credential from regional issuer
2. Check both registries
3. Determine trust based on policy</t>
  </si>
  <si>
    <t>Clear precedence rules applied (regional trust accepted)</t>
  </si>
  <si>
    <t>Registry hierarchy</t>
  </si>
  <si>
    <t>VC-XBORDER-005</t>
  </si>
  <si>
    <t>Identifier Formats</t>
  </si>
  <si>
    <t>Verify credential with foreign credential subject identifier</t>
  </si>
  <si>
    <t>Credential uses foreign national ID format</t>
  </si>
  <si>
    <t>1. Present credential with foreign identifier format
2. Verify in local system</t>
  </si>
  <si>
    <t>Foreign identifier format accepted and validated</t>
  </si>
  <si>
    <t>Identifier diversity</t>
  </si>
  <si>
    <t>VC-XBORDER-006</t>
  </si>
  <si>
    <t>Timezone</t>
  </si>
  <si>
    <t>Verify time zone handling across countries</t>
  </si>
  <si>
    <t>1. Issue credential in Country A (UTC-4)
2. Verify in Country B (UTC-5)
3. Check time-based validations</t>
  </si>
  <si>
    <t>Time-based validations work correctly across zones</t>
  </si>
  <si>
    <t>VC-OFFLINE-001</t>
  </si>
  <si>
    <t>Cached Verification</t>
  </si>
  <si>
    <t>Verify credential with cached DID document</t>
  </si>
  <si>
    <t>Verifier has no internet, DID document cached</t>
  </si>
  <si>
    <t>1. Disconnect verifier from network
2. Present credential
3. Verify using cached issuer DID document</t>
  </si>
  <si>
    <t>Verification succeeds using cached data</t>
  </si>
  <si>
    <t>VC-OFFLINE-002</t>
  </si>
  <si>
    <t>Partial Verification</t>
  </si>
  <si>
    <t>Verify credential without revocation check (offline mode)</t>
  </si>
  <si>
    <t>Verifier offline, cannot check revocation list</t>
  </si>
  <si>
    <t>1. Present credential in offline mode
2. System cannot reach StatusList2021 endpoint
3. Attempt verification</t>
  </si>
  <si>
    <t>Verification succeeds with warning "Revocation not checked"</t>
  </si>
  <si>
    <t>VC-OFFLINE-003</t>
  </si>
  <si>
    <t>Self-Contained</t>
  </si>
  <si>
    <t>Verify embedded proof credential offline</t>
  </si>
  <si>
    <t>Credential with all proof data embedded</t>
  </si>
  <si>
    <t>1. Present self-contained credential
2. Verify completely offline</t>
  </si>
  <si>
    <t>Full verification succeeds without network</t>
  </si>
  <si>
    <t>VC-KEYROT-001</t>
  </si>
  <si>
    <t>Key Rotation</t>
  </si>
  <si>
    <t>Verify credential after issuer key rotation with old key still valid</t>
  </si>
  <si>
    <t>Issuer rotated keys, old key still in DID document</t>
  </si>
  <si>
    <t>1. Credential signed with key-1
2. Issuer now uses key-2
3. Key-1 still in DID document
4. Verify credential</t>
  </si>
  <si>
    <t>Verification succeeds (key-1 still trusted)</t>
  </si>
  <si>
    <t>VC-KEYROT-002</t>
  </si>
  <si>
    <t>Deprecated Keys</t>
  </si>
  <si>
    <t>Verify credential with deprecated key</t>
  </si>
  <si>
    <t>Signing key marked as deprecated in DID document</t>
  </si>
  <si>
    <t>1. Present credential signed with deprecated key
2. DID document shows key status = "deprecated"
3. Attempt verification</t>
  </si>
  <si>
    <t>Verification succeeds with warning or fails based on policy</t>
  </si>
  <si>
    <t>VC-SCHEMA-001</t>
  </si>
  <si>
    <t>Conformance</t>
  </si>
  <si>
    <t>Verify credential not matching declared schema</t>
  </si>
  <si>
    <t>Credential references schema but does not conform</t>
  </si>
  <si>
    <t>1. Credential declares credentialSchema
2. Missing required field in schema
3. Attempt verification</t>
  </si>
  <si>
    <t>Verification fails with "Schema validation failed" error</t>
  </si>
  <si>
    <t>VC-SCHEMA-002</t>
  </si>
  <si>
    <t>Schema Resolution</t>
  </si>
  <si>
    <t>Verify credential with unreachable schema URL</t>
  </si>
  <si>
    <t>credentialSchema URL returns 404</t>
  </si>
  <si>
    <t>1. Present credential with unreachable schema URL
2. Schema URL returns 404
3. Attempt verification</t>
  </si>
  <si>
    <t>Verification fails or succeeds with warning based on policy</t>
  </si>
  <si>
    <t>VC-AUDIT-001</t>
  </si>
  <si>
    <t>Audit &amp; Logging</t>
  </si>
  <si>
    <t>Completeness</t>
  </si>
  <si>
    <t>Verify all verification attempts are logged</t>
  </si>
  <si>
    <t>System configured for audit logging</t>
  </si>
  <si>
    <t>1. Perform 10 verification attempts (5 success, 5 failures)
2. Query audit log
3. Check for all 10 entries</t>
  </si>
  <si>
    <t>All attempts logged with timestamp, result, credential ID</t>
  </si>
  <si>
    <t>VC-AUDIT-002</t>
  </si>
  <si>
    <t>Privacy</t>
  </si>
  <si>
    <t>Verify PII exclusion from logs</t>
  </si>
  <si>
    <t>Credential contains personal information</t>
  </si>
  <si>
    <t>1. Verify credential with personal data
2. Check audit logs
3. Verify no PII present</t>
  </si>
  <si>
    <t>Logs contain hashed credential ID only, no PII</t>
  </si>
  <si>
    <t>VC-AUDIT-003</t>
  </si>
  <si>
    <t>Error Details</t>
  </si>
  <si>
    <t>Verify failed verification details logged</t>
  </si>
  <si>
    <t>Verification fails for multiple reasons</t>
  </si>
  <si>
    <t>1. Attempt verification of invalid credential
2. Check audit log for failure reason</t>
  </si>
  <si>
    <t>Log includes specific failure reason (revoked, expired, invalid sig)</t>
  </si>
  <si>
    <t>VC-PERF-001</t>
  </si>
  <si>
    <t>Throughput</t>
  </si>
  <si>
    <t>Verify concurrent verification throughput</t>
  </si>
  <si>
    <t>100 concurrent verifiers</t>
  </si>
  <si>
    <t>1. Simulate 100 verifiers checking credentials simultaneously
2. Measure response time
3. Check for errors</t>
  </si>
  <si>
    <t>All verifications complete within 5 seconds, no errors</t>
  </si>
  <si>
    <t>VC-PERF-002</t>
  </si>
  <si>
    <t>Bulk Operations</t>
  </si>
  <si>
    <t>Verify bulk issuance performance</t>
  </si>
  <si>
    <t>CSV with 10,000 credentials</t>
  </si>
  <si>
    <t>1. Upload CSV for bulk issuance
2. Monitor processing time
3. Check success rate</t>
  </si>
  <si>
    <t>All 10,000 credentials issued within 10 minutes, &gt;99% success</t>
  </si>
  <si>
    <t>VC-PERF-003</t>
  </si>
  <si>
    <t>Large Credentials</t>
  </si>
  <si>
    <t>Verify large credential handling</t>
  </si>
  <si>
    <t>Credential with 200 claims/fields</t>
  </si>
  <si>
    <t>1. Issue very large credential
2. Verify credential
3. Display in wallet
4. Measure performance</t>
  </si>
  <si>
    <t>All operations complete without timeout</t>
  </si>
  <si>
    <t>VC-PRIV-001</t>
  </si>
  <si>
    <t>Error Messages</t>
  </si>
  <si>
    <t>Verify no PII in error messages</t>
  </si>
  <si>
    <t>Invalid credential with personal data</t>
  </si>
  <si>
    <t>1. Submit invalid credential
2. Check error message content
3. Review logs</t>
  </si>
  <si>
    <t>Error message generic, no PII exposed</t>
  </si>
  <si>
    <t>VC-PRIV-002</t>
  </si>
  <si>
    <t>Minimal Disclosure</t>
  </si>
  <si>
    <t>Verify minimal disclosure in QR code</t>
  </si>
  <si>
    <t>QR code generation from credential</t>
  </si>
  <si>
    <t>1. Generate QR code from credential
2. Decode QR code content
3. Check what data is included</t>
  </si>
  <si>
    <t>QR contains only reference/URL, not full credential data</t>
  </si>
  <si>
    <t>VC-PRIV-003</t>
  </si>
  <si>
    <t>Selective Disclosure</t>
  </si>
  <si>
    <t>Verify selective disclosure (if using SD-JWT)</t>
  </si>
  <si>
    <t>SD-JWT credential with multiple claims</t>
  </si>
  <si>
    <t>1. Create presentation with only specific fields
2. Exclude other fields
3. Verify presentation</t>
  </si>
  <si>
    <t>Only disclosed claims verified, others not revealed</t>
  </si>
  <si>
    <t>VC-MOBILE-SEC-001</t>
  </si>
  <si>
    <t>Device Security</t>
  </si>
  <si>
    <t>Verify rooted/jailbroken device detection</t>
  </si>
  <si>
    <t>App installed on compromised device</t>
  </si>
  <si>
    <t>1. Install wallet on rooted Android device
2. Launch app
3. Check security validation</t>
  </si>
  <si>
    <t>App detects root, displays warning or refuses to run</t>
  </si>
  <si>
    <t>Requires physical device</t>
  </si>
  <si>
    <t>VC-MOBILE-SEC-002</t>
  </si>
  <si>
    <t>Biometrics</t>
  </si>
  <si>
    <t>Verify biometric authentication failure handling</t>
  </si>
  <si>
    <t>Biometric auth enabled</t>
  </si>
  <si>
    <t>1. Attempt biometric auth 5 times with wrong fingerprint
2. Check fallback mechanism</t>
  </si>
  <si>
    <t>Falls back to PIN after failed attempts</t>
  </si>
  <si>
    <t>VC-MOBILE-SEC-003</t>
  </si>
  <si>
    <t>Key Storage</t>
  </si>
  <si>
    <t>Verify secure key storage</t>
  </si>
  <si>
    <t>Wallet generates private keys</t>
  </si>
  <si>
    <t>1. Generate key pair in wallet
2. Check key storage location
3. Attempt to extract key</t>
  </si>
  <si>
    <t>Keys stored in Keychain/Keystore, cannot be extracted</t>
  </si>
  <si>
    <t>Requires forensics</t>
  </si>
  <si>
    <t>VC-MOBILE-SEC-004</t>
  </si>
  <si>
    <t>Screen Capture</t>
  </si>
  <si>
    <t>Verify screen capture prevention</t>
  </si>
  <si>
    <t>Sensitive credential displayed</t>
  </si>
  <si>
    <t>1. Display credential with PII
2. Attempt screenshot
3. Check if blocked</t>
  </si>
  <si>
    <t>Screenshot blocked or image shows blank screen</t>
  </si>
  <si>
    <t>VC-NEG-001</t>
  </si>
  <si>
    <t>SQL Injection</t>
  </si>
  <si>
    <t>Verify SQL injection in search</t>
  </si>
  <si>
    <t>Search functionality in system</t>
  </si>
  <si>
    <t>1. Enter search query with SQL injection attempt
2. Submit search</t>
  </si>
  <si>
    <t>Query properly sanitized, no SQL execution</t>
  </si>
  <si>
    <t>Security testing</t>
  </si>
  <si>
    <t>VC-NEG-002</t>
  </si>
  <si>
    <t>XSS</t>
  </si>
  <si>
    <t>Verify XSS in credential display</t>
  </si>
  <si>
    <t>Credential with malicious script in field</t>
  </si>
  <si>
    <t>1. Issue credential with script in name field
2. Display credential</t>
  </si>
  <si>
    <t>Script properly escaped, not executed</t>
  </si>
  <si>
    <t>VC-NEG-003</t>
  </si>
  <si>
    <t>CSRF</t>
  </si>
  <si>
    <t>Verify CSRF protection</t>
  </si>
  <si>
    <t>Admin portal action</t>
  </si>
  <si>
    <t>1. Craft malicious request without CSRF token
2. Submit to action endpoint</t>
  </si>
  <si>
    <t>Request rejected, CSRF protection active</t>
  </si>
  <si>
    <t>VC-COMP-001</t>
  </si>
  <si>
    <t>Compliance</t>
  </si>
  <si>
    <t>Data Protection</t>
  </si>
  <si>
    <t>Verify right to erasure (GDPR/similar)</t>
  </si>
  <si>
    <t>User requests credential deletion</t>
  </si>
  <si>
    <t>1. User submits deletion request
2. System removes credential and related data
3. Check audit logs
4. Attempt to retrieve deleted data</t>
  </si>
  <si>
    <t>All personal data removed, audit log shows deletion event</t>
  </si>
  <si>
    <t>VC-COMP-002</t>
  </si>
  <si>
    <t>Data Retention</t>
  </si>
  <si>
    <t>Verify data retention policy enforcement</t>
  </si>
  <si>
    <t>Audit logs older than retention period</t>
  </si>
  <si>
    <t>1. System runs retention policy job
2. Old logs archived/deleted
3. Verify compliance</t>
  </si>
  <si>
    <t>Old logs archived, retention policy enforced</t>
  </si>
  <si>
    <t>VC-BIZ-001</t>
  </si>
  <si>
    <t>Business Logic</t>
  </si>
  <si>
    <t>Verify credential superseding</t>
  </si>
  <si>
    <t>Updated credential issued for same subject</t>
  </si>
  <si>
    <t>1. Issue credential v1
2. Issue credential v2 (updated information)
3. Both credentials valid
4. Determine which is current</t>
  </si>
  <si>
    <t>System identifies v2 as current, v1 as superseded</t>
  </si>
  <si>
    <t>VC-BIZ-002</t>
  </si>
  <si>
    <t>Usage Restrictions</t>
  </si>
  <si>
    <t>Verify conditional credential validity</t>
  </si>
  <si>
    <t>Credential valid only in certain contexts</t>
  </si>
  <si>
    <t>1. Credential includes usage restriction metadata
2. Attempt use outside allowed context</t>
  </si>
  <si>
    <t>Verifier enforces usage restrictions</t>
  </si>
  <si>
    <t>VC-RESIL-001</t>
  </si>
  <si>
    <t>Resilience</t>
  </si>
  <si>
    <t>Failover</t>
  </si>
  <si>
    <t>Verify database failover</t>
  </si>
  <si>
    <t>Primary database fails</t>
  </si>
  <si>
    <t>1. Simulate primary DB failure
2. System fails over to replica
3. Continue credential operations</t>
  </si>
  <si>
    <t>Seamless failover, operations continue</t>
  </si>
  <si>
    <t>VC-RESIL-002</t>
  </si>
  <si>
    <t>Backup &amp; Restore</t>
  </si>
  <si>
    <t>Verify credential recovery from backup</t>
  </si>
  <si>
    <t>Wallet backup exists</t>
  </si>
  <si>
    <t>1. Delete wallet app
2. Reinstall app
3. Restore from backup</t>
  </si>
  <si>
    <t>All credentials restored successfully</t>
  </si>
  <si>
    <t>VC-ISS-001</t>
  </si>
  <si>
    <t>Authentication</t>
  </si>
  <si>
    <t>Verify successful login to issuance portal with valid credentials</t>
  </si>
  <si>
    <t>User has valid issuer credentials</t>
  </si>
  <si>
    <t>1. Enter correct username
2. Enter correct password
3. Click Sign In</t>
  </si>
  <si>
    <t>User redirected to dashboard/home page</t>
  </si>
  <si>
    <t>From existing test TC001</t>
  </si>
  <si>
    <t>VC-ISS-002</t>
  </si>
  <si>
    <t>Validate error for incorrect password</t>
  </si>
  <si>
    <t>User has valid username</t>
  </si>
  <si>
    <t>1. Enter valid username
2. Enter incorrect password
3. Click Login</t>
  </si>
  <si>
    <t>Error message: "Invalid username or password"</t>
  </si>
  <si>
    <t>From existing test TC002</t>
  </si>
  <si>
    <t>VC-ISS-003</t>
  </si>
  <si>
    <t>Security</t>
  </si>
  <si>
    <t>Validate password masking</t>
  </si>
  <si>
    <t>User is on login page</t>
  </si>
  <si>
    <t>1. Enter password in password field
2. Check if characters are masked
3. Click eye icon to toggle visibility</t>
  </si>
  <si>
    <t>Password masked by default, visible when eye icon clicked</t>
  </si>
  <si>
    <t>From existing test TC003</t>
  </si>
  <si>
    <t>VC-ISS-004</t>
  </si>
  <si>
    <t>Issuer Management</t>
  </si>
  <si>
    <t>Verify new issuer can be added successfully</t>
  </si>
  <si>
    <t>User logged into admin portal on Issuer List page</t>
  </si>
  <si>
    <t>1. Click Add Issuer button
2. Enter valid Issuer Name
3. Enter valid Display Name
4. Provide Issuer Logo URL
5. Enter Issuer Admin Email
6. Click Create</t>
  </si>
  <si>
    <t>New issuer created, username and temporary password displayed</t>
  </si>
  <si>
    <t>From existing test TC004</t>
  </si>
  <si>
    <t>VC-ISS-005</t>
  </si>
  <si>
    <t>Schema Management</t>
  </si>
  <si>
    <t>Verify user can create a new credential schema successfully</t>
  </si>
  <si>
    <t>User logged into issuer portal</t>
  </si>
  <si>
    <t>1. Navigate to Schema section
2. Click Create New Schema
3. Enter schema details
4. Add required fields
5. Click Save</t>
  </si>
  <si>
    <t>Schema created successfully, appears in schema list</t>
  </si>
  <si>
    <t>From existing test TC019</t>
  </si>
  <si>
    <t>VC-ISS-006</t>
  </si>
  <si>
    <t>Validate adding duplicate attribute names in schema</t>
  </si>
  <si>
    <t>User creating new schema</t>
  </si>
  <si>
    <t>1. Add attribute with name "studentId"
2. Attempt to add another attribute with same name
3. Try to save</t>
  </si>
  <si>
    <t>Error: "Duplicate attribute names not allowed"</t>
  </si>
  <si>
    <t>From existing test TC022</t>
  </si>
  <si>
    <t>VC-ISS-007</t>
  </si>
  <si>
    <t>Single Issuance</t>
  </si>
  <si>
    <t>Validate issuance creation with valid data</t>
  </si>
  <si>
    <t>Schema and template exist</t>
  </si>
  <si>
    <t>1. Select credential schema
2. Enter all required fields
3. Enter credentialSubject data
4. Click Issue</t>
  </si>
  <si>
    <t>Credential issued successfully, stored with unique ID</t>
  </si>
  <si>
    <t>From existing test TC027</t>
  </si>
  <si>
    <t>VC-ISS-008</t>
  </si>
  <si>
    <t>Data Validation</t>
  </si>
  <si>
    <t>Validate mandatory fields in issuance</t>
  </si>
  <si>
    <t>User creating new credential</t>
  </si>
  <si>
    <t>1. Leave mandatory field empty
2. Fill other fields
3. Attempt to issue</t>
  </si>
  <si>
    <t>Error: "Required field [field_name] is missing"</t>
  </si>
  <si>
    <t>From existing test TC028</t>
  </si>
  <si>
    <t>VC-ISS-009</t>
  </si>
  <si>
    <t>Upload correctly filled CSV for bulk issuance</t>
  </si>
  <si>
    <t>Valid CSV file prepared with credential data</t>
  </si>
  <si>
    <t>1. Navigate to bulk issuance
2. Upload CSV file
3. Validate file format
4. Click Process</t>
  </si>
  <si>
    <t>All credentials from CSV issued successfully</t>
  </si>
  <si>
    <t>From existing test TC039</t>
  </si>
  <si>
    <t>VC-ISS-010</t>
  </si>
  <si>
    <t>File Validation</t>
  </si>
  <si>
    <t>Verify that user can upload CSV file only</t>
  </si>
  <si>
    <t>User on bulk issuance page</t>
  </si>
  <si>
    <t>1. Attempt to upload .xlsx file
2. Attempt to upload .txt file
3. Attempt to upload .csv file</t>
  </si>
  <si>
    <t>Only CSV file accepted, others rejected with error</t>
  </si>
  <si>
    <t>From existing test TC040</t>
  </si>
  <si>
    <t>VC-ISS-011</t>
  </si>
  <si>
    <t>Revocation</t>
  </si>
  <si>
    <t>Validate revoke functionality</t>
  </si>
  <si>
    <t>Issued credential exists</t>
  </si>
  <si>
    <t>1. Navigate to issued credentials list
2. Select credential
3. Click Revoke
4. Confirm revocation
5. Update status list</t>
  </si>
  <si>
    <t>Credential revoked, status updated in StatusList2021</t>
  </si>
  <si>
    <t>From existing test TC034</t>
  </si>
  <si>
    <t>VC-ISS-012</t>
  </si>
  <si>
    <t>Validate revoke action on already revoked credential</t>
  </si>
  <si>
    <t>Credential already revoked</t>
  </si>
  <si>
    <t>1. Select already revoked credential
2. Attempt to revoke again</t>
  </si>
  <si>
    <t>Error: "Credential is already revoked"</t>
  </si>
  <si>
    <t>From existing test TC035</t>
  </si>
  <si>
    <t>VC-ISS-013</t>
  </si>
  <si>
    <t>Batch Revocation</t>
  </si>
  <si>
    <t>Verify multiple credentials revoked simultaneously</t>
  </si>
  <si>
    <t>Multiple issued credentials exist</t>
  </si>
  <si>
    <t>1. Select multiple credentials
2. Click Bulk Revoke
3. Confirm action</t>
  </si>
  <si>
    <t>All selected credentials revoked, status list updated</t>
  </si>
  <si>
    <t>From existing test TC042</t>
  </si>
  <si>
    <t>VC-VER-001</t>
  </si>
  <si>
    <t>QR Upload</t>
  </si>
  <si>
    <t>Verify successful upload and validation of valid QR code</t>
  </si>
  <si>
    <t>Valid credential encoded in QR code</t>
  </si>
  <si>
    <t>1. Click upload button
2. Select QR code image file
3. Observe verification process</t>
  </si>
  <si>
    <t>Success message: "Credential is valid"</t>
  </si>
  <si>
    <t>VC-VER-002</t>
  </si>
  <si>
    <t>Verify system behavior when uploading QR code for revoked credential</t>
  </si>
  <si>
    <t>QR code contains revoked credential</t>
  </si>
  <si>
    <t>1. Click upload button
2. Select QR code with revoked credential
3. Observe verification</t>
  </si>
  <si>
    <t>Error message: "The credential is revoked"</t>
  </si>
  <si>
    <t>VC-VER-003</t>
  </si>
  <si>
    <t>QR Scan</t>
  </si>
  <si>
    <t>Verify successful QR code scan for valid credential</t>
  </si>
  <si>
    <t>1. Click Scan QR Code
2. Allow camera access
3. Scan QR code
4. Observe verification</t>
  </si>
  <si>
    <t>VC-VER-004</t>
  </si>
  <si>
    <t>Verify system behavior when scanning revoked credential</t>
  </si>
  <si>
    <t>1. Click Scan QR Code
2. Scan revoked credential QR
3. Observe result</t>
  </si>
  <si>
    <t>VC-VER-005</t>
  </si>
  <si>
    <t>Performance</t>
  </si>
  <si>
    <t>Verify QR code scanning speed and performance under load</t>
  </si>
  <si>
    <t>Multiple QR codes for scanning</t>
  </si>
  <si>
    <t>1. Scan 10 QR codes in succession
2. Measure time per scan
3. Check for degradation</t>
  </si>
  <si>
    <t>System handles multiple scans without performance degradation</t>
  </si>
  <si>
    <t>From existing test TC005</t>
  </si>
  <si>
    <t>VC-VER-006</t>
  </si>
  <si>
    <t>Error Handling</t>
  </si>
  <si>
    <t>Verify system behavior when uploading invalid QR code</t>
  </si>
  <si>
    <t>Invalid or corrupted QR code</t>
  </si>
  <si>
    <t>1. Upload invalid QR code image
2. Attempt verification</t>
  </si>
  <si>
    <t>Error message: "Invalid QR code" or "Cannot decode QR code"</t>
  </si>
  <si>
    <t>From existing test TC008</t>
  </si>
  <si>
    <t>VC-VER-007</t>
  </si>
  <si>
    <t>Verify supported file formats for upload</t>
  </si>
  <si>
    <t>Different image file formats</t>
  </si>
  <si>
    <t>1. Attempt to upload .jpg file
2. Attempt to upload .png file
3. Attempt to upload .pdf file</t>
  </si>
  <si>
    <t>JPG and PNG accepted, PDF rejected or handled appropriately</t>
  </si>
  <si>
    <t>From existing test TC015</t>
  </si>
  <si>
    <t>VC-VER-008</t>
  </si>
  <si>
    <t>File Size</t>
  </si>
  <si>
    <t>Verify file size limit for upload</t>
  </si>
  <si>
    <t>Large QR code image file</t>
  </si>
  <si>
    <t>1. Attempt to upload file exceeding size limit (e.g., &gt;5MB)</t>
  </si>
  <si>
    <t>Error message: "File size exceeds limit"</t>
  </si>
  <si>
    <t>From existing test TC017</t>
  </si>
  <si>
    <t>VC-VER-009</t>
  </si>
  <si>
    <t>Network</t>
  </si>
  <si>
    <t>Verify QR scan when network connectivity lost</t>
  </si>
  <si>
    <t>Network interruption during verification</t>
  </si>
  <si>
    <t>1. Start scanning QR code
2. Disconnect network during process
3. Observe behavior</t>
  </si>
  <si>
    <t>Appropriate error: "Network unavailable" or cached verification if applicable</t>
  </si>
  <si>
    <t>From existing test TC014</t>
  </si>
  <si>
    <t>VC-WALLET-001</t>
  </si>
  <si>
    <t>Verify user can login and access wallet</t>
  </si>
  <si>
    <t>User has wallet app installed</t>
  </si>
  <si>
    <t>1. Open wallet app
2. Enter credentials or use biometrics
3. Access main screen</t>
  </si>
  <si>
    <t>User successfully logged in, wallet main screen displayed</t>
  </si>
  <si>
    <t>VC-WALLET-002</t>
  </si>
  <si>
    <t>Credential Download</t>
  </si>
  <si>
    <t>Verify download functionality with valid credential</t>
  </si>
  <si>
    <t>User logged in, credential available for download</t>
  </si>
  <si>
    <t>1. Click + symbol to add credential
2. Select issuer
3. Select credential type
4. Enter mobile number
5. Enter OTP
6. Confirm download</t>
  </si>
  <si>
    <t>Credential downloaded successfully to wallet</t>
  </si>
  <si>
    <t>VC-WALLET-003</t>
  </si>
  <si>
    <t>OTP Validation</t>
  </si>
  <si>
    <t>Verify download fails with incorrect OTP</t>
  </si>
  <si>
    <t>User attempting to download credential</t>
  </si>
  <si>
    <t>1. Initiate credential download
2. Enter incorrect OTP
3. Submit</t>
  </si>
  <si>
    <t>Error message: "Invalid OTP"</t>
  </si>
  <si>
    <t>From existing test TC016</t>
  </si>
  <si>
    <t>VC-WALLET-004</t>
  </si>
  <si>
    <t>Credential Management</t>
  </si>
  <si>
    <t>Verify credential can be removed from wallet</t>
  </si>
  <si>
    <t>Credential exists in wallet</t>
  </si>
  <si>
    <t>1. Open wallet
2. Select credential
3. Click 3-dot menu
4. Click "Remove from wallet"
5. Confirm</t>
  </si>
  <si>
    <t>Credential removed/deleted from wallet successfully</t>
  </si>
  <si>
    <t>VC-WALLET-005</t>
  </si>
  <si>
    <t>Sharing</t>
  </si>
  <si>
    <t>Verify "Share Credential" option is accessible</t>
  </si>
  <si>
    <t>User has credential in wallet</t>
  </si>
  <si>
    <t>1. Open wallet
2. Select credential
3. Click 3-dot menu
4. Check for "Share" option</t>
  </si>
  <si>
    <t>Share button visible and clickable</t>
  </si>
  <si>
    <t>VC-WALLET-006</t>
  </si>
  <si>
    <t>QR Display</t>
  </si>
  <si>
    <t>Verify QR code can be displayed for verification</t>
  </si>
  <si>
    <t>1. Select credential
2. View credential details
3. Check QR code display</t>
  </si>
  <si>
    <t>QR code displayed correctly, can be scanned</t>
  </si>
  <si>
    <t>From existing test TC006</t>
  </si>
  <si>
    <t>VC-WALLET-007</t>
  </si>
  <si>
    <t>Status Check</t>
  </si>
  <si>
    <t>Verify app shows "Revoked" status for revoked credential</t>
  </si>
  <si>
    <t>User has revoked credential in wallet</t>
  </si>
  <si>
    <t>1. Open wallet
2. View revoked credential
3. Check status display</t>
  </si>
  <si>
    <t>Credential clearly marked as "Revoked"</t>
  </si>
  <si>
    <t>From existing test TC007</t>
  </si>
  <si>
    <t>VC-WALLET-008</t>
  </si>
  <si>
    <t>Activity Log</t>
  </si>
  <si>
    <t>Verify user can view activity log</t>
  </si>
  <si>
    <t>User has performed various wallet activities</t>
  </si>
  <si>
    <t>1. Open wallet
2. Navigate to Settings or Menu
3. Select Activity Log
4. View history</t>
  </si>
  <si>
    <t>Activity log displayed with timestamps and actions</t>
  </si>
  <si>
    <t>VC-WALLET-009</t>
  </si>
  <si>
    <t>Settings</t>
  </si>
  <si>
    <t>Verify "Key Management" option accessible from settings</t>
  </si>
  <si>
    <t>User in wallet app</t>
  </si>
  <si>
    <t>1. Open Settings
2. Look for Key Management option
3. Click to access</t>
  </si>
  <si>
    <t>Key Management screen accessible</t>
  </si>
  <si>
    <t>From existing test TC011</t>
  </si>
  <si>
    <t>VC-WALLET-010</t>
  </si>
  <si>
    <t>Backup</t>
  </si>
  <si>
    <t>Verify "Backup &amp; Restore" option accessible in Settings</t>
  </si>
  <si>
    <t>1. Open Settings
2. Look for Backup &amp; Restore option
3. Click to access</t>
  </si>
  <si>
    <t>Backup &amp; Restore screen accessible</t>
  </si>
  <si>
    <t>From existing test TC012</t>
  </si>
  <si>
    <t>VC-WALLET-011</t>
  </si>
  <si>
    <t>Verify app behavior when network drops during OTP verification</t>
  </si>
  <si>
    <t>User attempting OTP verification</t>
  </si>
  <si>
    <t>1. Initiate credential download
2. Request OTP
3. Disconnect network
4. Enter OTP
5. Observe behavior</t>
  </si>
  <si>
    <t>Appropriate error message, retry mechanism available</t>
  </si>
  <si>
    <t>From existing test TC020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</si>
</sst>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0.0%"/>
  </numFmts>
  <fonts count="8">
    <font>
      <sz val="11.0"/>
      <color theme="1"/>
      <name val="Calibri"/>
      <scheme val="minor"/>
    </font>
    <font>
      <b/>
      <sz val="14.0"/>
      <color rgb="FF366092"/>
      <name val="Calibri"/>
      <scheme val="minor"/>
    </font>
    <font>
      <b/>
      <color theme="1"/>
      <name val="Calibri"/>
      <scheme val="minor"/>
    </font>
    <font>
      <sz val="11.0"/>
      <color theme="1"/>
      <name val="Calibri"/>
    </font>
    <font>
      <b/>
      <sz val="11.0"/>
      <color theme="1"/>
      <name val="Calibri"/>
      <scheme val="minor"/>
    </font>
    <font>
      <color theme="1"/>
      <name val="Calibri"/>
      <scheme val="minor"/>
    </font>
    <font>
      <b/>
      <sz val="12.0"/>
      <color theme="1"/>
      <name val="Calibri"/>
      <scheme val="minor"/>
    </font>
    <font>
      <b/>
      <sz val="11.0"/>
      <color rgb="FFFFFFFF"/>
      <name val="Calibri"/>
      <scheme val="minor"/>
    </font>
  </fonts>
  <fills count="6">
    <fill>
      <patternFill patternType="none"/>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366092"/>
        <bgColor rgb="FF366092"/>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2" numFmtId="0" xfId="0" applyBorder="1" applyFill="1" applyFont="1"/>
    <xf borderId="1" fillId="3" fontId="2" numFmtId="0" xfId="0" applyBorder="1" applyFill="1" applyFont="1"/>
    <xf borderId="1" fillId="4" fontId="2" numFmtId="0" xfId="0" applyBorder="1" applyFill="1" applyFont="1"/>
    <xf borderId="0" fillId="0" fontId="5" numFmtId="0" xfId="0" applyFont="1"/>
    <xf borderId="0" fillId="0" fontId="5" numFmtId="164" xfId="0" applyAlignment="1" applyFont="1" applyNumberFormat="1">
      <alignment horizontal="left" readingOrder="0"/>
    </xf>
    <xf borderId="0" fillId="0" fontId="6" numFmtId="0" xfId="0" applyFont="1"/>
    <xf borderId="1" fillId="5" fontId="7" numFmtId="0" xfId="0" applyBorder="1" applyFill="1" applyFont="1"/>
    <xf borderId="1" fillId="5" fontId="7" numFmtId="0" xfId="0" applyAlignment="1" applyBorder="1" applyFont="1">
      <alignment horizontal="center"/>
    </xf>
    <xf borderId="0" fillId="0" fontId="3" numFmtId="165" xfId="0" applyFont="1" applyNumberFormat="1"/>
    <xf borderId="2" fillId="5" fontId="7" numFmtId="0" xfId="0" applyAlignment="1" applyBorder="1" applyFont="1">
      <alignment horizontal="center" shrinkToFit="0" vertical="center" wrapText="1"/>
    </xf>
    <xf borderId="2" fillId="0" fontId="3" numFmtId="0" xfId="0" applyAlignment="1" applyBorder="1" applyFont="1">
      <alignment shrinkToFit="0" vertical="top" wrapText="1"/>
    </xf>
    <xf borderId="2" fillId="2" fontId="3" numFmtId="0" xfId="0" applyAlignment="1" applyBorder="1" applyFont="1">
      <alignment shrinkToFit="0" vertical="top" wrapText="1"/>
    </xf>
    <xf borderId="2" fillId="3" fontId="3" numFmtId="0" xfId="0" applyAlignment="1" applyBorder="1" applyFont="1">
      <alignment shrinkToFit="0" vertical="top" wrapText="1"/>
    </xf>
    <xf borderId="2" fillId="4" fontId="3"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6" width="25.0"/>
    <col customWidth="1" min="7" max="26" width="8.71"/>
  </cols>
  <sheetData>
    <row r="1">
      <c r="A1" s="1" t="s">
        <v>0</v>
      </c>
    </row>
    <row r="3">
      <c r="A3" s="2" t="s">
        <v>1</v>
      </c>
      <c r="B3" s="3" t="s">
        <v>2</v>
      </c>
    </row>
    <row r="5">
      <c r="A5" s="2" t="s">
        <v>3</v>
      </c>
      <c r="B5" s="3" t="s">
        <v>4</v>
      </c>
    </row>
    <row r="7">
      <c r="A7" s="2" t="s">
        <v>5</v>
      </c>
      <c r="B7" s="3" t="s">
        <v>6</v>
      </c>
    </row>
    <row r="14">
      <c r="A14" s="4" t="s">
        <v>7</v>
      </c>
    </row>
    <row r="15">
      <c r="A15" s="5" t="s">
        <v>8</v>
      </c>
      <c r="B15" s="3" t="s">
        <v>9</v>
      </c>
    </row>
    <row r="16">
      <c r="A16" s="6" t="s">
        <v>10</v>
      </c>
      <c r="B16" s="3" t="s">
        <v>11</v>
      </c>
    </row>
    <row r="17">
      <c r="A17" s="7" t="s">
        <v>12</v>
      </c>
      <c r="B17" s="3" t="s">
        <v>13</v>
      </c>
    </row>
    <row r="19">
      <c r="A19" s="4" t="s">
        <v>14</v>
      </c>
    </row>
    <row r="20">
      <c r="A20" s="2" t="s">
        <v>15</v>
      </c>
      <c r="B20" s="3" t="s">
        <v>16</v>
      </c>
    </row>
    <row r="21" ht="15.75" customHeight="1">
      <c r="A21" s="2" t="s">
        <v>17</v>
      </c>
      <c r="B21" s="3" t="s">
        <v>18</v>
      </c>
    </row>
    <row r="22" ht="15.75" customHeight="1">
      <c r="A22" s="2" t="s">
        <v>19</v>
      </c>
      <c r="B22" s="3" t="s">
        <v>20</v>
      </c>
    </row>
    <row r="23" ht="15.75" customHeight="1">
      <c r="A23" s="2" t="s">
        <v>21</v>
      </c>
      <c r="B23" s="3" t="s">
        <v>22</v>
      </c>
    </row>
    <row r="24" ht="15.75" customHeight="1"/>
    <row r="25" ht="15.75" customHeight="1">
      <c r="A25" s="4" t="s">
        <v>23</v>
      </c>
    </row>
    <row r="26" ht="15.75" customHeight="1">
      <c r="B26" s="3" t="s">
        <v>24</v>
      </c>
    </row>
    <row r="27" ht="15.75" customHeight="1"/>
    <row r="28" ht="15.75" customHeight="1"/>
    <row r="29" ht="15.75" customHeight="1"/>
    <row r="30" ht="15.75" customHeight="1"/>
    <row r="31" ht="15.75" customHeight="1"/>
    <row r="32" ht="15.75" customHeight="1"/>
    <row r="33" ht="15.75" customHeight="1"/>
    <row r="34" ht="15.75" customHeight="1">
      <c r="A34" s="2" t="s">
        <v>25</v>
      </c>
      <c r="B34" s="8" t="s">
        <v>26</v>
      </c>
    </row>
    <row r="35" ht="15.75" customHeight="1">
      <c r="A35" s="2" t="s">
        <v>27</v>
      </c>
      <c r="B35" s="9">
        <v>45992.0</v>
      </c>
    </row>
    <row r="36" ht="15.75" customHeight="1">
      <c r="A36" s="2" t="s">
        <v>28</v>
      </c>
      <c r="B36" s="8" t="s">
        <v>29</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B20:F20"/>
    <mergeCell ref="B21:F21"/>
    <mergeCell ref="B22:F22"/>
    <mergeCell ref="B23:F23"/>
    <mergeCell ref="B26:F32"/>
    <mergeCell ref="B36:F36"/>
    <mergeCell ref="A1:F1"/>
    <mergeCell ref="B3:F3"/>
    <mergeCell ref="B5:F5"/>
    <mergeCell ref="B7:F12"/>
    <mergeCell ref="B15:F15"/>
    <mergeCell ref="B16:F16"/>
    <mergeCell ref="B17:F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60.0"/>
    <col customWidth="1" min="3" max="4" width="20.0"/>
    <col customWidth="1" min="5" max="26" width="8.71"/>
  </cols>
  <sheetData>
    <row r="1">
      <c r="A1" s="1" t="s">
        <v>30</v>
      </c>
    </row>
    <row r="3">
      <c r="A3" s="10" t="s">
        <v>31</v>
      </c>
    </row>
    <row r="4">
      <c r="A4" s="3" t="s">
        <v>32</v>
      </c>
    </row>
    <row r="21" ht="15.75" customHeight="1"/>
    <row r="22" ht="15.75" customHeight="1">
      <c r="A22" s="10" t="s">
        <v>33</v>
      </c>
    </row>
    <row r="23" ht="15.75" customHeight="1">
      <c r="A23" s="11" t="s">
        <v>34</v>
      </c>
      <c r="B23" s="11" t="s">
        <v>35</v>
      </c>
    </row>
    <row r="24" ht="15.75" customHeight="1">
      <c r="A24" s="2" t="s">
        <v>36</v>
      </c>
      <c r="B24" s="8" t="s">
        <v>37</v>
      </c>
    </row>
    <row r="25" ht="15.75" customHeight="1">
      <c r="A25" s="2" t="s">
        <v>38</v>
      </c>
      <c r="B25" s="8" t="s">
        <v>39</v>
      </c>
    </row>
    <row r="26" ht="15.75" customHeight="1">
      <c r="A26" s="2" t="s">
        <v>40</v>
      </c>
      <c r="B26" s="8" t="s">
        <v>41</v>
      </c>
    </row>
    <row r="27" ht="15.75" customHeight="1">
      <c r="A27" s="2" t="s">
        <v>42</v>
      </c>
      <c r="B27" s="8" t="s">
        <v>43</v>
      </c>
    </row>
    <row r="28" ht="15.75" customHeight="1">
      <c r="A28" s="2" t="s">
        <v>44</v>
      </c>
      <c r="B28" s="8" t="s">
        <v>45</v>
      </c>
    </row>
    <row r="29" ht="15.75" customHeight="1">
      <c r="A29" s="2" t="s">
        <v>46</v>
      </c>
      <c r="B29" s="8" t="s">
        <v>47</v>
      </c>
    </row>
    <row r="30" ht="15.75" customHeight="1">
      <c r="A30" s="2" t="s">
        <v>48</v>
      </c>
      <c r="B30" s="8" t="s">
        <v>49</v>
      </c>
    </row>
    <row r="31" ht="15.75" customHeight="1">
      <c r="A31" s="2" t="s">
        <v>50</v>
      </c>
      <c r="B31" s="8" t="s">
        <v>51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4:D20"/>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5.0"/>
    <col customWidth="1" min="6" max="26" width="8.71"/>
  </cols>
  <sheetData>
    <row r="1">
      <c r="A1" s="1" t="s">
        <v>52</v>
      </c>
    </row>
    <row r="3">
      <c r="A3" s="10" t="s">
        <v>53</v>
      </c>
    </row>
    <row r="4">
      <c r="A4" s="12" t="s">
        <v>54</v>
      </c>
      <c r="B4" s="12" t="s">
        <v>55</v>
      </c>
      <c r="C4" s="12" t="s">
        <v>56</v>
      </c>
      <c r="D4" s="12" t="s">
        <v>57</v>
      </c>
      <c r="E4" s="12" t="s">
        <v>58</v>
      </c>
    </row>
    <row r="5">
      <c r="A5" s="8" t="s">
        <v>8</v>
      </c>
      <c r="B5" s="8">
        <v>45.0</v>
      </c>
      <c r="C5" s="8">
        <f>COUNTIFS('All Test Cases'!B:B,"Priority 1 (Must Have)",'All Test Cases'!J:J,"Passed")</f>
        <v>0</v>
      </c>
      <c r="D5" s="8">
        <f>COUNTIFS('All Test Cases'!B:B,"Priority 1 (Must Have)",'All Test Cases'!J:J,"Failed")</f>
        <v>0</v>
      </c>
      <c r="E5" s="8">
        <f>COUNTIFS('All Test Cases'!B:B,"Priority 1 (Must Have)",'All Test Cases'!J:J,"Not Started")</f>
        <v>34</v>
      </c>
    </row>
    <row r="6">
      <c r="A6" s="8" t="s">
        <v>10</v>
      </c>
      <c r="B6" s="8">
        <v>46.0</v>
      </c>
      <c r="C6" s="8">
        <f>COUNTIFS('All Test Cases'!B:B,"Priority 2 (Should Have)",'All Test Cases'!J:J,"Passed")</f>
        <v>0</v>
      </c>
      <c r="D6" s="8">
        <f>COUNTIFS('All Test Cases'!B:B,"Priority 2 (Should Have)",'All Test Cases'!J:J,"Failed")</f>
        <v>0</v>
      </c>
      <c r="E6" s="8">
        <f>COUNTIFS('All Test Cases'!B:B,"Priority 2 (Should Have)",'All Test Cases'!J:J,"Not Started")</f>
        <v>48</v>
      </c>
    </row>
    <row r="7">
      <c r="A7" s="8" t="s">
        <v>12</v>
      </c>
      <c r="B7" s="8">
        <v>36.0</v>
      </c>
      <c r="C7" s="8">
        <f>COUNTIFS('All Test Cases'!B:B,"Priority 3 (Nice to Have)",'All Test Cases'!J:J,"Passed")</f>
        <v>0</v>
      </c>
      <c r="D7" s="8">
        <f>COUNTIFS('All Test Cases'!B:B,"Priority 3 (Nice to Have)",'All Test Cases'!J:J,"Failed")</f>
        <v>0</v>
      </c>
      <c r="E7" s="8">
        <f>COUNTIFS('All Test Cases'!B:B,"Priority 3 (Nice to Have)",'All Test Cases'!J:J,"Not Started")</f>
        <v>20</v>
      </c>
    </row>
    <row r="9">
      <c r="A9" s="10" t="s">
        <v>59</v>
      </c>
    </row>
    <row r="10">
      <c r="A10" s="12" t="s">
        <v>60</v>
      </c>
      <c r="B10" s="12" t="s">
        <v>55</v>
      </c>
      <c r="C10" s="12" t="s">
        <v>56</v>
      </c>
      <c r="D10" s="12" t="s">
        <v>57</v>
      </c>
      <c r="E10" s="12" t="s">
        <v>58</v>
      </c>
    </row>
    <row r="11">
      <c r="A11" s="8" t="s">
        <v>36</v>
      </c>
      <c r="B11" s="8">
        <f>COUNTIF('All Test Cases'!C:C,"Signature Verification")</f>
        <v>6</v>
      </c>
      <c r="C11" s="8">
        <f>COUNTIFS('All Test Cases'!C:C,"Signature Verification",'All Test Cases'!J:J,"Passed")</f>
        <v>0</v>
      </c>
      <c r="D11" s="8">
        <f>COUNTIFS('All Test Cases'!C:C,"Signature Verification",'All Test Cases'!J:J,"Failed")</f>
        <v>0</v>
      </c>
      <c r="E11" s="8">
        <f>COUNTIFS('All Test Cases'!C:C,"Signature Verification",'All Test Cases'!J:J,"Not Started")</f>
        <v>6</v>
      </c>
    </row>
    <row r="12">
      <c r="A12" s="8" t="s">
        <v>42</v>
      </c>
      <c r="B12" s="8">
        <f>COUNTIF('All Test Cases'!C:C,"Revocation Management")</f>
        <v>7</v>
      </c>
      <c r="C12" s="8">
        <f>COUNTIFS('All Test Cases'!C:C,"Revocation Management",'All Test Cases'!J:J,"Passed")</f>
        <v>0</v>
      </c>
      <c r="D12" s="8">
        <f>COUNTIFS('All Test Cases'!C:C,"Revocation Management",'All Test Cases'!J:J,"Failed")</f>
        <v>0</v>
      </c>
      <c r="E12" s="8">
        <f>COUNTIFS('All Test Cases'!C:C,"Revocation Management",'All Test Cases'!J:J,"Not Started")</f>
        <v>7</v>
      </c>
    </row>
    <row r="13">
      <c r="A13" s="8" t="s">
        <v>61</v>
      </c>
      <c r="B13" s="8">
        <f>COUNTIF('All Test Cases'!C:C,"Expiration &amp; Validity")</f>
        <v>6</v>
      </c>
      <c r="C13" s="8">
        <f>COUNTIFS('All Test Cases'!C:C,"Expiration &amp; Validity",'All Test Cases'!J:J,"Passed")</f>
        <v>0</v>
      </c>
      <c r="D13" s="8">
        <f>COUNTIFS('All Test Cases'!C:C,"Expiration &amp; Validity",'All Test Cases'!J:J,"Failed")</f>
        <v>0</v>
      </c>
      <c r="E13" s="8">
        <f>COUNTIFS('All Test Cases'!C:C,"Expiration &amp; Validity",'All Test Cases'!J:J,"Not Started")</f>
        <v>6</v>
      </c>
    </row>
    <row r="14">
      <c r="A14" s="8" t="s">
        <v>38</v>
      </c>
      <c r="B14" s="8">
        <f>COUNTIF('All Test Cases'!C:C,"DID Resolution")</f>
        <v>7</v>
      </c>
      <c r="C14" s="8">
        <f>COUNTIFS('All Test Cases'!C:C,"DID Resolution",'All Test Cases'!J:J,"Passed")</f>
        <v>0</v>
      </c>
      <c r="D14" s="8">
        <f>COUNTIFS('All Test Cases'!C:C,"DID Resolution",'All Test Cases'!J:J,"Failed")</f>
        <v>0</v>
      </c>
      <c r="E14" s="8">
        <f>COUNTIFS('All Test Cases'!C:C,"DID Resolution",'All Test Cases'!J:J,"Not Started")</f>
        <v>7</v>
      </c>
    </row>
    <row r="15">
      <c r="A15" s="8" t="s">
        <v>40</v>
      </c>
      <c r="B15" s="8">
        <f>COUNTIF('All Test Cases'!C:C,"Trust Registry")</f>
        <v>8</v>
      </c>
      <c r="C15" s="8">
        <f>COUNTIFS('All Test Cases'!C:C,"Trust Registry",'All Test Cases'!J:J,"Passed")</f>
        <v>0</v>
      </c>
      <c r="D15" s="8">
        <f>COUNTIFS('All Test Cases'!C:C,"Trust Registry",'All Test Cases'!J:J,"Failed")</f>
        <v>0</v>
      </c>
      <c r="E15" s="8">
        <f>COUNTIFS('All Test Cases'!C:C,"Trust Registry",'All Test Cases'!J:J,"Not Started")</f>
        <v>8</v>
      </c>
    </row>
    <row r="16">
      <c r="A16" s="8" t="s">
        <v>62</v>
      </c>
      <c r="B16" s="8">
        <f>COUNTIF('All Test Cases'!C:C,"Cross-Border Interoperability")</f>
        <v>6</v>
      </c>
      <c r="C16" s="8">
        <f>COUNTIFS('All Test Cases'!C:C,"Cross-Border Interoperability",'All Test Cases'!J:J,"Passed")</f>
        <v>0</v>
      </c>
      <c r="D16" s="8">
        <f>COUNTIFS('All Test Cases'!C:C,"Cross-Border Interoperability",'All Test Cases'!J:J,"Failed")</f>
        <v>0</v>
      </c>
      <c r="E16" s="8">
        <f>COUNTIFS('All Test Cases'!C:C,"Cross-Border Interoperability",'All Test Cases'!J:J,"Not Started")</f>
        <v>6</v>
      </c>
    </row>
    <row r="17">
      <c r="A17" s="8" t="s">
        <v>63</v>
      </c>
      <c r="B17" s="8">
        <f>COUNTIF('All Test Cases'!C:C,"Schema Validation")</f>
        <v>2</v>
      </c>
      <c r="C17" s="8">
        <f>COUNTIFS('All Test Cases'!C:C,"Schema Validation",'All Test Cases'!J:J,"Passed")</f>
        <v>0</v>
      </c>
      <c r="D17" s="8">
        <f>COUNTIFS('All Test Cases'!C:C,"Schema Validation",'All Test Cases'!J:J,"Failed")</f>
        <v>0</v>
      </c>
      <c r="E17" s="8">
        <f>COUNTIFS('All Test Cases'!C:C,"Schema Validation",'All Test Cases'!J:J,"Not Started")</f>
        <v>2</v>
      </c>
    </row>
    <row r="18">
      <c r="A18" s="8" t="s">
        <v>64</v>
      </c>
      <c r="B18" s="8">
        <f>COUNTIF('All Test Cases'!C:C,"Offline Scenarios")</f>
        <v>3</v>
      </c>
      <c r="C18" s="8">
        <f>COUNTIFS('All Test Cases'!C:C,"Offline Scenarios",'All Test Cases'!J:J,"Passed")</f>
        <v>0</v>
      </c>
      <c r="D18" s="8">
        <f>COUNTIFS('All Test Cases'!C:C,"Offline Scenarios",'All Test Cases'!J:J,"Failed")</f>
        <v>0</v>
      </c>
      <c r="E18" s="8">
        <f>COUNTIFS('All Test Cases'!C:C,"Offline Scenarios",'All Test Cases'!J:J,"Not Started")</f>
        <v>3</v>
      </c>
    </row>
    <row r="19">
      <c r="A19" s="8" t="s">
        <v>65</v>
      </c>
      <c r="B19" s="8">
        <f>COUNTIF('All Test Cases'!C:C,"Security &amp; Privacy")</f>
        <v>10</v>
      </c>
      <c r="C19" s="8">
        <f>COUNTIFS('All Test Cases'!C:C,"Security &amp; Privacy",'All Test Cases'!J:J,"Passed")</f>
        <v>0</v>
      </c>
      <c r="D19" s="8">
        <f>COUNTIFS('All Test Cases'!C:C,"Security &amp; Privacy",'All Test Cases'!J:J,"Failed")</f>
        <v>0</v>
      </c>
      <c r="E19" s="8">
        <f>COUNTIFS('All Test Cases'!C:C,"Security &amp; Privacy",'All Test Cases'!J:J,"Not Started")</f>
        <v>10</v>
      </c>
    </row>
    <row r="20">
      <c r="A20" s="8" t="s">
        <v>66</v>
      </c>
      <c r="B20" s="8">
        <f>COUNTIF('All Test Cases'!C:C,"Performance &amp; Scale")</f>
        <v>3</v>
      </c>
      <c r="C20" s="8">
        <f>COUNTIFS('All Test Cases'!C:C,"Performance &amp; Scale",'All Test Cases'!J:J,"Passed")</f>
        <v>0</v>
      </c>
      <c r="D20" s="8">
        <f>COUNTIFS('All Test Cases'!C:C,"Performance &amp; Scale",'All Test Cases'!J:J,"Failed")</f>
        <v>0</v>
      </c>
      <c r="E20" s="8">
        <f>COUNTIFS('All Test Cases'!C:C,"Performance &amp; Scale",'All Test Cases'!J:J,"Not Started")</f>
        <v>3</v>
      </c>
    </row>
    <row r="21" ht="15.75" customHeight="1"/>
    <row r="22" ht="15.75" customHeight="1"/>
    <row r="23" ht="15.75" customHeight="1">
      <c r="A23" s="10" t="s">
        <v>67</v>
      </c>
    </row>
    <row r="24" ht="15.75" customHeight="1">
      <c r="A24" s="12" t="s">
        <v>68</v>
      </c>
      <c r="B24" s="12" t="s">
        <v>55</v>
      </c>
      <c r="C24" s="12" t="s">
        <v>69</v>
      </c>
    </row>
    <row r="25" ht="15.75" customHeight="1">
      <c r="A25" s="8" t="s">
        <v>15</v>
      </c>
      <c r="B25" s="8">
        <v>28.0</v>
      </c>
      <c r="C25" s="13">
        <f>28/127</f>
        <v>0.2204724409</v>
      </c>
    </row>
    <row r="26" ht="15.75" customHeight="1">
      <c r="A26" s="8" t="s">
        <v>17</v>
      </c>
      <c r="B26" s="8">
        <v>60.0</v>
      </c>
      <c r="C26" s="13">
        <f>60/127</f>
        <v>0.4724409449</v>
      </c>
    </row>
    <row r="27" ht="15.75" customHeight="1">
      <c r="A27" s="8" t="s">
        <v>19</v>
      </c>
      <c r="B27" s="8">
        <v>23.0</v>
      </c>
      <c r="C27" s="13">
        <f>23/127</f>
        <v>0.1811023622</v>
      </c>
    </row>
    <row r="28" ht="15.75" customHeight="1">
      <c r="A28" s="8" t="s">
        <v>21</v>
      </c>
      <c r="B28" s="8">
        <v>16.0</v>
      </c>
      <c r="C28" s="13">
        <f>16/127</f>
        <v>0.125984252</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25.0"/>
    <col customWidth="1" min="4" max="4" width="20.0"/>
    <col customWidth="1" min="5" max="5" width="40.0"/>
    <col customWidth="1" min="6" max="6" width="35.0"/>
    <col customWidth="1" min="7" max="7" width="50.0"/>
    <col customWidth="1" min="8" max="8" width="40.0"/>
    <col customWidth="1" min="9" max="10" width="15.0"/>
    <col customWidth="1" min="11" max="11" width="30.0"/>
    <col customWidth="1" min="12" max="26" width="8.71"/>
  </cols>
  <sheetData>
    <row r="1">
      <c r="A1" s="14" t="s">
        <v>70</v>
      </c>
      <c r="B1" s="14" t="s">
        <v>71</v>
      </c>
      <c r="C1" s="14" t="s">
        <v>60</v>
      </c>
      <c r="D1" s="14" t="s">
        <v>34</v>
      </c>
      <c r="E1" s="14" t="s">
        <v>72</v>
      </c>
      <c r="F1" s="14" t="s">
        <v>73</v>
      </c>
      <c r="G1" s="14" t="s">
        <v>74</v>
      </c>
      <c r="H1" s="14" t="s">
        <v>75</v>
      </c>
      <c r="I1" s="14" t="s">
        <v>68</v>
      </c>
      <c r="J1" s="14" t="s">
        <v>76</v>
      </c>
      <c r="K1" s="14" t="s">
        <v>77</v>
      </c>
    </row>
    <row r="2" ht="60.0" customHeight="1">
      <c r="A2" s="15" t="s">
        <v>78</v>
      </c>
      <c r="B2" s="16" t="s">
        <v>8</v>
      </c>
      <c r="C2" s="15" t="s">
        <v>36</v>
      </c>
      <c r="D2" s="15" t="s">
        <v>79</v>
      </c>
      <c r="E2" s="15" t="s">
        <v>80</v>
      </c>
      <c r="F2" s="15" t="s">
        <v>81</v>
      </c>
      <c r="G2" s="15" t="s">
        <v>82</v>
      </c>
      <c r="H2" s="15" t="s">
        <v>83</v>
      </c>
      <c r="I2" s="15" t="s">
        <v>15</v>
      </c>
      <c r="J2" s="15" t="s">
        <v>58</v>
      </c>
      <c r="K2" s="15" t="s">
        <v>84</v>
      </c>
    </row>
    <row r="3" ht="60.0" customHeight="1">
      <c r="A3" s="15" t="s">
        <v>85</v>
      </c>
      <c r="B3" s="16" t="s">
        <v>8</v>
      </c>
      <c r="C3" s="15" t="s">
        <v>36</v>
      </c>
      <c r="D3" s="15" t="s">
        <v>79</v>
      </c>
      <c r="E3" s="15" t="s">
        <v>86</v>
      </c>
      <c r="F3" s="15" t="s">
        <v>87</v>
      </c>
      <c r="G3" s="15" t="s">
        <v>88</v>
      </c>
      <c r="H3" s="15" t="s">
        <v>89</v>
      </c>
      <c r="I3" s="15" t="s">
        <v>15</v>
      </c>
      <c r="J3" s="15" t="s">
        <v>58</v>
      </c>
      <c r="K3" s="15" t="s">
        <v>90</v>
      </c>
    </row>
    <row r="4" ht="60.0" customHeight="1">
      <c r="A4" s="15" t="s">
        <v>91</v>
      </c>
      <c r="B4" s="16" t="s">
        <v>8</v>
      </c>
      <c r="C4" s="15" t="s">
        <v>36</v>
      </c>
      <c r="D4" s="15" t="s">
        <v>92</v>
      </c>
      <c r="E4" s="15" t="s">
        <v>93</v>
      </c>
      <c r="F4" s="15" t="s">
        <v>94</v>
      </c>
      <c r="G4" s="15" t="s">
        <v>95</v>
      </c>
      <c r="H4" s="15" t="s">
        <v>96</v>
      </c>
      <c r="I4" s="15" t="s">
        <v>15</v>
      </c>
      <c r="J4" s="15" t="s">
        <v>58</v>
      </c>
      <c r="K4" s="15" t="s">
        <v>97</v>
      </c>
    </row>
    <row r="5" ht="60.0" customHeight="1">
      <c r="A5" s="15" t="s">
        <v>98</v>
      </c>
      <c r="B5" s="16" t="s">
        <v>8</v>
      </c>
      <c r="C5" s="15" t="s">
        <v>36</v>
      </c>
      <c r="D5" s="15" t="s">
        <v>92</v>
      </c>
      <c r="E5" s="15" t="s">
        <v>99</v>
      </c>
      <c r="F5" s="15" t="s">
        <v>100</v>
      </c>
      <c r="G5" s="15" t="s">
        <v>101</v>
      </c>
      <c r="H5" s="15" t="s">
        <v>102</v>
      </c>
      <c r="I5" s="15" t="s">
        <v>15</v>
      </c>
      <c r="J5" s="15" t="s">
        <v>58</v>
      </c>
      <c r="K5" s="15" t="s">
        <v>103</v>
      </c>
    </row>
    <row r="6" ht="60.0" customHeight="1">
      <c r="A6" s="15" t="s">
        <v>104</v>
      </c>
      <c r="B6" s="16" t="s">
        <v>8</v>
      </c>
      <c r="C6" s="15" t="s">
        <v>36</v>
      </c>
      <c r="D6" s="15" t="s">
        <v>92</v>
      </c>
      <c r="E6" s="15" t="s">
        <v>105</v>
      </c>
      <c r="F6" s="15" t="s">
        <v>106</v>
      </c>
      <c r="G6" s="15" t="s">
        <v>107</v>
      </c>
      <c r="H6" s="15" t="s">
        <v>108</v>
      </c>
      <c r="I6" s="15" t="s">
        <v>15</v>
      </c>
      <c r="J6" s="15" t="s">
        <v>58</v>
      </c>
      <c r="K6" s="15" t="s">
        <v>109</v>
      </c>
    </row>
    <row r="7" ht="60.0" customHeight="1">
      <c r="A7" s="15" t="s">
        <v>110</v>
      </c>
      <c r="B7" s="16" t="s">
        <v>8</v>
      </c>
      <c r="C7" s="15" t="s">
        <v>36</v>
      </c>
      <c r="D7" s="15" t="s">
        <v>111</v>
      </c>
      <c r="E7" s="15" t="s">
        <v>112</v>
      </c>
      <c r="F7" s="15" t="s">
        <v>113</v>
      </c>
      <c r="G7" s="15" t="s">
        <v>114</v>
      </c>
      <c r="H7" s="15" t="s">
        <v>115</v>
      </c>
      <c r="I7" s="15" t="s">
        <v>15</v>
      </c>
      <c r="J7" s="15" t="s">
        <v>58</v>
      </c>
      <c r="K7" s="15" t="s">
        <v>116</v>
      </c>
    </row>
    <row r="8" ht="60.0" customHeight="1">
      <c r="A8" s="15" t="s">
        <v>117</v>
      </c>
      <c r="B8" s="16" t="s">
        <v>8</v>
      </c>
      <c r="C8" s="15" t="s">
        <v>42</v>
      </c>
      <c r="D8" s="15" t="s">
        <v>118</v>
      </c>
      <c r="E8" s="15" t="s">
        <v>119</v>
      </c>
      <c r="F8" s="15" t="s">
        <v>120</v>
      </c>
      <c r="G8" s="15" t="s">
        <v>121</v>
      </c>
      <c r="H8" s="15" t="s">
        <v>122</v>
      </c>
      <c r="I8" s="15" t="s">
        <v>17</v>
      </c>
      <c r="J8" s="15" t="s">
        <v>58</v>
      </c>
      <c r="K8" s="15" t="s">
        <v>123</v>
      </c>
    </row>
    <row r="9" ht="60.0" customHeight="1">
      <c r="A9" s="15" t="s">
        <v>124</v>
      </c>
      <c r="B9" s="16" t="s">
        <v>8</v>
      </c>
      <c r="C9" s="15" t="s">
        <v>42</v>
      </c>
      <c r="D9" s="15" t="s">
        <v>118</v>
      </c>
      <c r="E9" s="15" t="s">
        <v>125</v>
      </c>
      <c r="F9" s="15" t="s">
        <v>126</v>
      </c>
      <c r="G9" s="15" t="s">
        <v>127</v>
      </c>
      <c r="H9" s="15" t="s">
        <v>128</v>
      </c>
      <c r="I9" s="15" t="s">
        <v>17</v>
      </c>
      <c r="J9" s="15" t="s">
        <v>58</v>
      </c>
      <c r="K9" s="15" t="s">
        <v>129</v>
      </c>
    </row>
    <row r="10" ht="60.0" customHeight="1">
      <c r="A10" s="15" t="s">
        <v>130</v>
      </c>
      <c r="B10" s="16" t="s">
        <v>8</v>
      </c>
      <c r="C10" s="15" t="s">
        <v>42</v>
      </c>
      <c r="D10" s="15" t="s">
        <v>118</v>
      </c>
      <c r="E10" s="15" t="s">
        <v>131</v>
      </c>
      <c r="F10" s="15" t="s">
        <v>132</v>
      </c>
      <c r="G10" s="15" t="s">
        <v>133</v>
      </c>
      <c r="H10" s="15" t="s">
        <v>134</v>
      </c>
      <c r="I10" s="15" t="s">
        <v>17</v>
      </c>
      <c r="J10" s="15" t="s">
        <v>58</v>
      </c>
      <c r="K10" s="15" t="s">
        <v>135</v>
      </c>
    </row>
    <row r="11" ht="60.0" customHeight="1">
      <c r="A11" s="15" t="s">
        <v>136</v>
      </c>
      <c r="B11" s="16" t="s">
        <v>8</v>
      </c>
      <c r="C11" s="15" t="s">
        <v>42</v>
      </c>
      <c r="D11" s="15" t="s">
        <v>137</v>
      </c>
      <c r="E11" s="15" t="s">
        <v>138</v>
      </c>
      <c r="F11" s="15" t="s">
        <v>139</v>
      </c>
      <c r="G11" s="15" t="s">
        <v>140</v>
      </c>
      <c r="H11" s="15" t="s">
        <v>141</v>
      </c>
      <c r="I11" s="15" t="s">
        <v>17</v>
      </c>
      <c r="J11" s="15" t="s">
        <v>58</v>
      </c>
      <c r="K11" s="15" t="s">
        <v>142</v>
      </c>
    </row>
    <row r="12" ht="60.0" customHeight="1">
      <c r="A12" s="15" t="s">
        <v>143</v>
      </c>
      <c r="B12" s="16" t="s">
        <v>8</v>
      </c>
      <c r="C12" s="15" t="s">
        <v>42</v>
      </c>
      <c r="D12" s="15" t="s">
        <v>144</v>
      </c>
      <c r="E12" s="15" t="s">
        <v>145</v>
      </c>
      <c r="F12" s="15" t="s">
        <v>146</v>
      </c>
      <c r="G12" s="15" t="s">
        <v>147</v>
      </c>
      <c r="H12" s="15" t="s">
        <v>148</v>
      </c>
      <c r="I12" s="15" t="s">
        <v>17</v>
      </c>
      <c r="J12" s="15" t="s">
        <v>58</v>
      </c>
      <c r="K12" s="15" t="s">
        <v>149</v>
      </c>
    </row>
    <row r="13" ht="60.0" customHeight="1">
      <c r="A13" s="15" t="s">
        <v>150</v>
      </c>
      <c r="B13" s="16" t="s">
        <v>8</v>
      </c>
      <c r="C13" s="15" t="s">
        <v>42</v>
      </c>
      <c r="D13" s="15" t="s">
        <v>151</v>
      </c>
      <c r="E13" s="15" t="s">
        <v>152</v>
      </c>
      <c r="F13" s="15" t="s">
        <v>153</v>
      </c>
      <c r="G13" s="15" t="s">
        <v>154</v>
      </c>
      <c r="H13" s="15" t="s">
        <v>155</v>
      </c>
      <c r="I13" s="15" t="s">
        <v>17</v>
      </c>
      <c r="J13" s="15" t="s">
        <v>58</v>
      </c>
      <c r="K13" s="15" t="s">
        <v>156</v>
      </c>
    </row>
    <row r="14" ht="60.0" customHeight="1">
      <c r="A14" s="15" t="s">
        <v>157</v>
      </c>
      <c r="B14" s="16" t="s">
        <v>8</v>
      </c>
      <c r="C14" s="15" t="s">
        <v>42</v>
      </c>
      <c r="D14" s="15" t="s">
        <v>158</v>
      </c>
      <c r="E14" s="15" t="s">
        <v>159</v>
      </c>
      <c r="F14" s="15" t="s">
        <v>160</v>
      </c>
      <c r="G14" s="15" t="s">
        <v>161</v>
      </c>
      <c r="H14" s="15" t="s">
        <v>162</v>
      </c>
      <c r="I14" s="15" t="s">
        <v>17</v>
      </c>
      <c r="J14" s="15" t="s">
        <v>58</v>
      </c>
      <c r="K14" s="15" t="s">
        <v>163</v>
      </c>
    </row>
    <row r="15" ht="60.0" customHeight="1">
      <c r="A15" s="15" t="s">
        <v>164</v>
      </c>
      <c r="B15" s="16" t="s">
        <v>8</v>
      </c>
      <c r="C15" s="15" t="s">
        <v>61</v>
      </c>
      <c r="D15" s="15" t="s">
        <v>165</v>
      </c>
      <c r="E15" s="15" t="s">
        <v>166</v>
      </c>
      <c r="F15" s="15" t="s">
        <v>167</v>
      </c>
      <c r="G15" s="15" t="s">
        <v>168</v>
      </c>
      <c r="H15" s="15" t="s">
        <v>169</v>
      </c>
      <c r="I15" s="15" t="s">
        <v>15</v>
      </c>
      <c r="J15" s="15" t="s">
        <v>58</v>
      </c>
      <c r="K15" s="15" t="s">
        <v>170</v>
      </c>
    </row>
    <row r="16" ht="60.0" customHeight="1">
      <c r="A16" s="15" t="s">
        <v>171</v>
      </c>
      <c r="B16" s="16" t="s">
        <v>8</v>
      </c>
      <c r="C16" s="15" t="s">
        <v>61</v>
      </c>
      <c r="D16" s="15" t="s">
        <v>165</v>
      </c>
      <c r="E16" s="15" t="s">
        <v>172</v>
      </c>
      <c r="F16" s="15" t="s">
        <v>173</v>
      </c>
      <c r="G16" s="15" t="s">
        <v>174</v>
      </c>
      <c r="H16" s="15" t="s">
        <v>175</v>
      </c>
      <c r="I16" s="15" t="s">
        <v>15</v>
      </c>
      <c r="J16" s="15" t="s">
        <v>58</v>
      </c>
      <c r="K16" s="15" t="s">
        <v>176</v>
      </c>
    </row>
    <row r="17" ht="60.0" customHeight="1">
      <c r="A17" s="15" t="s">
        <v>177</v>
      </c>
      <c r="B17" s="16" t="s">
        <v>8</v>
      </c>
      <c r="C17" s="15" t="s">
        <v>61</v>
      </c>
      <c r="D17" s="15" t="s">
        <v>165</v>
      </c>
      <c r="E17" s="15" t="s">
        <v>178</v>
      </c>
      <c r="F17" s="15" t="s">
        <v>179</v>
      </c>
      <c r="G17" s="15" t="s">
        <v>180</v>
      </c>
      <c r="H17" s="15" t="s">
        <v>181</v>
      </c>
      <c r="I17" s="15" t="s">
        <v>15</v>
      </c>
      <c r="J17" s="15" t="s">
        <v>58</v>
      </c>
      <c r="K17" s="15" t="s">
        <v>182</v>
      </c>
    </row>
    <row r="18" ht="60.0" customHeight="1">
      <c r="A18" s="15" t="s">
        <v>183</v>
      </c>
      <c r="B18" s="16" t="s">
        <v>8</v>
      </c>
      <c r="C18" s="15" t="s">
        <v>61</v>
      </c>
      <c r="D18" s="15" t="s">
        <v>158</v>
      </c>
      <c r="E18" s="15" t="s">
        <v>184</v>
      </c>
      <c r="F18" s="15" t="s">
        <v>185</v>
      </c>
      <c r="G18" s="15" t="s">
        <v>186</v>
      </c>
      <c r="H18" s="15" t="s">
        <v>187</v>
      </c>
      <c r="I18" s="15" t="s">
        <v>15</v>
      </c>
      <c r="J18" s="15" t="s">
        <v>58</v>
      </c>
      <c r="K18" s="15" t="s">
        <v>188</v>
      </c>
    </row>
    <row r="19" ht="60.0" customHeight="1">
      <c r="A19" s="15" t="s">
        <v>189</v>
      </c>
      <c r="B19" s="16" t="s">
        <v>8</v>
      </c>
      <c r="C19" s="15" t="s">
        <v>61</v>
      </c>
      <c r="D19" s="15" t="s">
        <v>190</v>
      </c>
      <c r="E19" s="15" t="s">
        <v>191</v>
      </c>
      <c r="F19" s="15" t="s">
        <v>192</v>
      </c>
      <c r="G19" s="15" t="s">
        <v>193</v>
      </c>
      <c r="H19" s="15" t="s">
        <v>194</v>
      </c>
      <c r="I19" s="15" t="s">
        <v>15</v>
      </c>
      <c r="J19" s="15" t="s">
        <v>58</v>
      </c>
      <c r="K19" s="15" t="s">
        <v>195</v>
      </c>
    </row>
    <row r="20" ht="60.0" customHeight="1">
      <c r="A20" s="15" t="s">
        <v>196</v>
      </c>
      <c r="B20" s="16" t="s">
        <v>8</v>
      </c>
      <c r="C20" s="15" t="s">
        <v>61</v>
      </c>
      <c r="D20" s="15" t="s">
        <v>197</v>
      </c>
      <c r="E20" s="15" t="s">
        <v>198</v>
      </c>
      <c r="F20" s="15" t="s">
        <v>199</v>
      </c>
      <c r="G20" s="15" t="s">
        <v>200</v>
      </c>
      <c r="H20" s="15" t="s">
        <v>201</v>
      </c>
      <c r="I20" s="15" t="s">
        <v>15</v>
      </c>
      <c r="J20" s="15" t="s">
        <v>58</v>
      </c>
      <c r="K20" s="15" t="s">
        <v>202</v>
      </c>
    </row>
    <row r="21" ht="60.0" customHeight="1">
      <c r="A21" s="15" t="s">
        <v>203</v>
      </c>
      <c r="B21" s="16" t="s">
        <v>8</v>
      </c>
      <c r="C21" s="15" t="s">
        <v>38</v>
      </c>
      <c r="D21" s="15" t="s">
        <v>204</v>
      </c>
      <c r="E21" s="15" t="s">
        <v>205</v>
      </c>
      <c r="F21" s="15" t="s">
        <v>206</v>
      </c>
      <c r="G21" s="15" t="s">
        <v>207</v>
      </c>
      <c r="H21" s="15" t="s">
        <v>208</v>
      </c>
      <c r="I21" s="15" t="s">
        <v>17</v>
      </c>
      <c r="J21" s="15" t="s">
        <v>58</v>
      </c>
      <c r="K21" s="15" t="s">
        <v>209</v>
      </c>
    </row>
    <row r="22" ht="60.0" customHeight="1">
      <c r="A22" s="15" t="s">
        <v>210</v>
      </c>
      <c r="B22" s="16" t="s">
        <v>8</v>
      </c>
      <c r="C22" s="15" t="s">
        <v>38</v>
      </c>
      <c r="D22" s="15" t="s">
        <v>211</v>
      </c>
      <c r="E22" s="15" t="s">
        <v>212</v>
      </c>
      <c r="F22" s="15" t="s">
        <v>213</v>
      </c>
      <c r="G22" s="15" t="s">
        <v>214</v>
      </c>
      <c r="H22" s="15" t="s">
        <v>215</v>
      </c>
      <c r="I22" s="15" t="s">
        <v>17</v>
      </c>
      <c r="J22" s="15" t="s">
        <v>58</v>
      </c>
      <c r="K22" s="15" t="s">
        <v>216</v>
      </c>
    </row>
    <row r="23" ht="60.0" customHeight="1">
      <c r="A23" s="15" t="s">
        <v>217</v>
      </c>
      <c r="B23" s="16" t="s">
        <v>8</v>
      </c>
      <c r="C23" s="15" t="s">
        <v>38</v>
      </c>
      <c r="D23" s="15" t="s">
        <v>218</v>
      </c>
      <c r="E23" s="15" t="s">
        <v>219</v>
      </c>
      <c r="F23" s="15" t="s">
        <v>220</v>
      </c>
      <c r="G23" s="15" t="s">
        <v>221</v>
      </c>
      <c r="H23" s="15" t="s">
        <v>222</v>
      </c>
      <c r="I23" s="15" t="s">
        <v>17</v>
      </c>
      <c r="J23" s="15" t="s">
        <v>58</v>
      </c>
      <c r="K23" s="15" t="s">
        <v>223</v>
      </c>
    </row>
    <row r="24" ht="60.0" customHeight="1">
      <c r="A24" s="15" t="s">
        <v>224</v>
      </c>
      <c r="B24" s="16" t="s">
        <v>8</v>
      </c>
      <c r="C24" s="15" t="s">
        <v>38</v>
      </c>
      <c r="D24" s="15" t="s">
        <v>225</v>
      </c>
      <c r="E24" s="15" t="s">
        <v>226</v>
      </c>
      <c r="F24" s="15" t="s">
        <v>227</v>
      </c>
      <c r="G24" s="15" t="s">
        <v>228</v>
      </c>
      <c r="H24" s="15" t="s">
        <v>229</v>
      </c>
      <c r="I24" s="15" t="s">
        <v>17</v>
      </c>
      <c r="J24" s="15" t="s">
        <v>58</v>
      </c>
      <c r="K24" s="15" t="s">
        <v>230</v>
      </c>
    </row>
    <row r="25" ht="60.0" customHeight="1">
      <c r="A25" s="15" t="s">
        <v>231</v>
      </c>
      <c r="B25" s="16" t="s">
        <v>8</v>
      </c>
      <c r="C25" s="15" t="s">
        <v>38</v>
      </c>
      <c r="D25" s="15" t="s">
        <v>232</v>
      </c>
      <c r="E25" s="15" t="s">
        <v>233</v>
      </c>
      <c r="F25" s="15" t="s">
        <v>234</v>
      </c>
      <c r="G25" s="15" t="s">
        <v>235</v>
      </c>
      <c r="H25" s="15" t="s">
        <v>236</v>
      </c>
      <c r="I25" s="15" t="s">
        <v>17</v>
      </c>
      <c r="J25" s="15" t="s">
        <v>58</v>
      </c>
      <c r="K25" s="15" t="s">
        <v>135</v>
      </c>
    </row>
    <row r="26" ht="60.0" customHeight="1">
      <c r="A26" s="15" t="s">
        <v>237</v>
      </c>
      <c r="B26" s="16" t="s">
        <v>8</v>
      </c>
      <c r="C26" s="15" t="s">
        <v>38</v>
      </c>
      <c r="D26" s="15" t="s">
        <v>238</v>
      </c>
      <c r="E26" s="15" t="s">
        <v>239</v>
      </c>
      <c r="F26" s="15" t="s">
        <v>240</v>
      </c>
      <c r="G26" s="15" t="s">
        <v>241</v>
      </c>
      <c r="H26" s="15" t="s">
        <v>242</v>
      </c>
      <c r="I26" s="15" t="s">
        <v>17</v>
      </c>
      <c r="J26" s="15" t="s">
        <v>58</v>
      </c>
      <c r="K26" s="15" t="s">
        <v>243</v>
      </c>
    </row>
    <row r="27" ht="60.0" customHeight="1">
      <c r="A27" s="15" t="s">
        <v>244</v>
      </c>
      <c r="B27" s="16" t="s">
        <v>8</v>
      </c>
      <c r="C27" s="15" t="s">
        <v>38</v>
      </c>
      <c r="D27" s="15" t="s">
        <v>245</v>
      </c>
      <c r="E27" s="15" t="s">
        <v>246</v>
      </c>
      <c r="F27" s="15" t="s">
        <v>247</v>
      </c>
      <c r="G27" s="15" t="s">
        <v>248</v>
      </c>
      <c r="H27" s="15" t="s">
        <v>249</v>
      </c>
      <c r="I27" s="15" t="s">
        <v>17</v>
      </c>
      <c r="J27" s="15" t="s">
        <v>58</v>
      </c>
      <c r="K27" s="15" t="s">
        <v>250</v>
      </c>
    </row>
    <row r="28" ht="60.0" customHeight="1">
      <c r="A28" s="15" t="s">
        <v>251</v>
      </c>
      <c r="B28" s="16" t="s">
        <v>8</v>
      </c>
      <c r="C28" s="15" t="s">
        <v>40</v>
      </c>
      <c r="D28" s="15" t="s">
        <v>252</v>
      </c>
      <c r="E28" s="15" t="s">
        <v>253</v>
      </c>
      <c r="F28" s="15" t="s">
        <v>254</v>
      </c>
      <c r="G28" s="15" t="s">
        <v>255</v>
      </c>
      <c r="H28" s="15" t="s">
        <v>256</v>
      </c>
      <c r="I28" s="15" t="s">
        <v>17</v>
      </c>
      <c r="J28" s="15" t="s">
        <v>58</v>
      </c>
      <c r="K28" s="15" t="s">
        <v>257</v>
      </c>
    </row>
    <row r="29" ht="60.0" customHeight="1">
      <c r="A29" s="15" t="s">
        <v>258</v>
      </c>
      <c r="B29" s="16" t="s">
        <v>8</v>
      </c>
      <c r="C29" s="15" t="s">
        <v>40</v>
      </c>
      <c r="D29" s="15" t="s">
        <v>259</v>
      </c>
      <c r="E29" s="15" t="s">
        <v>260</v>
      </c>
      <c r="F29" s="15" t="s">
        <v>261</v>
      </c>
      <c r="G29" s="15" t="s">
        <v>262</v>
      </c>
      <c r="H29" s="15" t="s">
        <v>263</v>
      </c>
      <c r="I29" s="15" t="s">
        <v>17</v>
      </c>
      <c r="J29" s="15" t="s">
        <v>58</v>
      </c>
      <c r="K29" s="15" t="s">
        <v>264</v>
      </c>
    </row>
    <row r="30" ht="60.0" customHeight="1">
      <c r="A30" s="15" t="s">
        <v>265</v>
      </c>
      <c r="B30" s="16" t="s">
        <v>8</v>
      </c>
      <c r="C30" s="15" t="s">
        <v>40</v>
      </c>
      <c r="D30" s="15" t="s">
        <v>266</v>
      </c>
      <c r="E30" s="15" t="s">
        <v>267</v>
      </c>
      <c r="F30" s="15" t="s">
        <v>268</v>
      </c>
      <c r="G30" s="15" t="s">
        <v>269</v>
      </c>
      <c r="H30" s="15" t="s">
        <v>270</v>
      </c>
      <c r="I30" s="15" t="s">
        <v>17</v>
      </c>
      <c r="J30" s="15" t="s">
        <v>58</v>
      </c>
      <c r="K30" s="15" t="s">
        <v>271</v>
      </c>
    </row>
    <row r="31" ht="60.0" customHeight="1">
      <c r="A31" s="15" t="s">
        <v>272</v>
      </c>
      <c r="B31" s="16" t="s">
        <v>8</v>
      </c>
      <c r="C31" s="15" t="s">
        <v>40</v>
      </c>
      <c r="D31" s="15" t="s">
        <v>273</v>
      </c>
      <c r="E31" s="15" t="s">
        <v>274</v>
      </c>
      <c r="F31" s="15" t="s">
        <v>275</v>
      </c>
      <c r="G31" s="15" t="s">
        <v>276</v>
      </c>
      <c r="H31" s="15" t="s">
        <v>277</v>
      </c>
      <c r="I31" s="15" t="s">
        <v>17</v>
      </c>
      <c r="J31" s="15" t="s">
        <v>58</v>
      </c>
      <c r="K31" s="15" t="s">
        <v>278</v>
      </c>
    </row>
    <row r="32" ht="60.0" customHeight="1">
      <c r="A32" s="15" t="s">
        <v>279</v>
      </c>
      <c r="B32" s="16" t="s">
        <v>8</v>
      </c>
      <c r="C32" s="15" t="s">
        <v>40</v>
      </c>
      <c r="D32" s="15" t="s">
        <v>280</v>
      </c>
      <c r="E32" s="15" t="s">
        <v>281</v>
      </c>
      <c r="F32" s="15" t="s">
        <v>282</v>
      </c>
      <c r="G32" s="15" t="s">
        <v>283</v>
      </c>
      <c r="H32" s="15" t="s">
        <v>284</v>
      </c>
      <c r="I32" s="15" t="s">
        <v>17</v>
      </c>
      <c r="J32" s="15" t="s">
        <v>58</v>
      </c>
      <c r="K32" s="15" t="s">
        <v>285</v>
      </c>
    </row>
    <row r="33" ht="60.0" customHeight="1">
      <c r="A33" s="15" t="s">
        <v>286</v>
      </c>
      <c r="B33" s="16" t="s">
        <v>8</v>
      </c>
      <c r="C33" s="15" t="s">
        <v>40</v>
      </c>
      <c r="D33" s="15" t="s">
        <v>137</v>
      </c>
      <c r="E33" s="15" t="s">
        <v>287</v>
      </c>
      <c r="F33" s="15" t="s">
        <v>288</v>
      </c>
      <c r="G33" s="15" t="s">
        <v>289</v>
      </c>
      <c r="H33" s="15" t="s">
        <v>290</v>
      </c>
      <c r="I33" s="15" t="s">
        <v>17</v>
      </c>
      <c r="J33" s="15" t="s">
        <v>58</v>
      </c>
      <c r="K33" s="15" t="s">
        <v>291</v>
      </c>
    </row>
    <row r="34" ht="60.0" customHeight="1">
      <c r="A34" s="15" t="s">
        <v>292</v>
      </c>
      <c r="B34" s="16" t="s">
        <v>8</v>
      </c>
      <c r="C34" s="15" t="s">
        <v>40</v>
      </c>
      <c r="D34" s="15" t="s">
        <v>293</v>
      </c>
      <c r="E34" s="15" t="s">
        <v>294</v>
      </c>
      <c r="F34" s="15" t="s">
        <v>295</v>
      </c>
      <c r="G34" s="15" t="s">
        <v>296</v>
      </c>
      <c r="H34" s="15" t="s">
        <v>297</v>
      </c>
      <c r="I34" s="15" t="s">
        <v>17</v>
      </c>
      <c r="J34" s="15" t="s">
        <v>58</v>
      </c>
      <c r="K34" s="15" t="s">
        <v>298</v>
      </c>
    </row>
    <row r="35" ht="60.0" customHeight="1">
      <c r="A35" s="15" t="s">
        <v>299</v>
      </c>
      <c r="B35" s="16" t="s">
        <v>8</v>
      </c>
      <c r="C35" s="15" t="s">
        <v>40</v>
      </c>
      <c r="D35" s="15" t="s">
        <v>300</v>
      </c>
      <c r="E35" s="15" t="s">
        <v>301</v>
      </c>
      <c r="F35" s="15" t="s">
        <v>302</v>
      </c>
      <c r="G35" s="15" t="s">
        <v>303</v>
      </c>
      <c r="H35" s="15" t="s">
        <v>304</v>
      </c>
      <c r="I35" s="15" t="s">
        <v>17</v>
      </c>
      <c r="J35" s="15" t="s">
        <v>58</v>
      </c>
      <c r="K35" s="15" t="s">
        <v>305</v>
      </c>
    </row>
    <row r="36" ht="60.0" customHeight="1">
      <c r="A36" s="15" t="s">
        <v>306</v>
      </c>
      <c r="B36" s="17" t="s">
        <v>10</v>
      </c>
      <c r="C36" s="15" t="s">
        <v>62</v>
      </c>
      <c r="D36" s="15" t="s">
        <v>307</v>
      </c>
      <c r="E36" s="15" t="s">
        <v>308</v>
      </c>
      <c r="F36" s="15" t="s">
        <v>309</v>
      </c>
      <c r="G36" s="15" t="s">
        <v>310</v>
      </c>
      <c r="H36" s="15" t="s">
        <v>311</v>
      </c>
      <c r="I36" s="15" t="s">
        <v>19</v>
      </c>
      <c r="J36" s="15" t="s">
        <v>58</v>
      </c>
      <c r="K36" s="15" t="s">
        <v>312</v>
      </c>
    </row>
    <row r="37" ht="60.0" customHeight="1">
      <c r="A37" s="15" t="s">
        <v>313</v>
      </c>
      <c r="B37" s="17" t="s">
        <v>10</v>
      </c>
      <c r="C37" s="15" t="s">
        <v>62</v>
      </c>
      <c r="D37" s="15" t="s">
        <v>197</v>
      </c>
      <c r="E37" s="15" t="s">
        <v>314</v>
      </c>
      <c r="F37" s="15" t="s">
        <v>315</v>
      </c>
      <c r="G37" s="15" t="s">
        <v>316</v>
      </c>
      <c r="H37" s="15" t="s">
        <v>317</v>
      </c>
      <c r="I37" s="15" t="s">
        <v>19</v>
      </c>
      <c r="J37" s="15" t="s">
        <v>58</v>
      </c>
      <c r="K37" s="15" t="s">
        <v>318</v>
      </c>
    </row>
    <row r="38" ht="60.0" customHeight="1">
      <c r="A38" s="15" t="s">
        <v>319</v>
      </c>
      <c r="B38" s="17" t="s">
        <v>10</v>
      </c>
      <c r="C38" s="15" t="s">
        <v>62</v>
      </c>
      <c r="D38" s="15" t="s">
        <v>320</v>
      </c>
      <c r="E38" s="15" t="s">
        <v>321</v>
      </c>
      <c r="F38" s="15" t="s">
        <v>322</v>
      </c>
      <c r="G38" s="15" t="s">
        <v>323</v>
      </c>
      <c r="H38" s="15" t="s">
        <v>324</v>
      </c>
      <c r="I38" s="15" t="s">
        <v>19</v>
      </c>
      <c r="J38" s="15" t="s">
        <v>58</v>
      </c>
      <c r="K38" s="15" t="s">
        <v>325</v>
      </c>
    </row>
    <row r="39" ht="60.0" customHeight="1">
      <c r="A39" s="15" t="s">
        <v>326</v>
      </c>
      <c r="B39" s="17" t="s">
        <v>10</v>
      </c>
      <c r="C39" s="15" t="s">
        <v>62</v>
      </c>
      <c r="D39" s="15" t="s">
        <v>327</v>
      </c>
      <c r="E39" s="15" t="s">
        <v>328</v>
      </c>
      <c r="F39" s="15" t="s">
        <v>329</v>
      </c>
      <c r="G39" s="15" t="s">
        <v>330</v>
      </c>
      <c r="H39" s="15" t="s">
        <v>331</v>
      </c>
      <c r="I39" s="15" t="s">
        <v>19</v>
      </c>
      <c r="J39" s="15" t="s">
        <v>58</v>
      </c>
      <c r="K39" s="15" t="s">
        <v>332</v>
      </c>
    </row>
    <row r="40" ht="60.0" customHeight="1">
      <c r="A40" s="15" t="s">
        <v>333</v>
      </c>
      <c r="B40" s="17" t="s">
        <v>10</v>
      </c>
      <c r="C40" s="15" t="s">
        <v>62</v>
      </c>
      <c r="D40" s="15" t="s">
        <v>334</v>
      </c>
      <c r="E40" s="15" t="s">
        <v>335</v>
      </c>
      <c r="F40" s="15" t="s">
        <v>336</v>
      </c>
      <c r="G40" s="15" t="s">
        <v>337</v>
      </c>
      <c r="H40" s="15" t="s">
        <v>338</v>
      </c>
      <c r="I40" s="15" t="s">
        <v>19</v>
      </c>
      <c r="J40" s="15" t="s">
        <v>58</v>
      </c>
      <c r="K40" s="15" t="s">
        <v>339</v>
      </c>
    </row>
    <row r="41" ht="60.0" customHeight="1">
      <c r="A41" s="15" t="s">
        <v>340</v>
      </c>
      <c r="B41" s="17" t="s">
        <v>10</v>
      </c>
      <c r="C41" s="15" t="s">
        <v>62</v>
      </c>
      <c r="D41" s="15" t="s">
        <v>341</v>
      </c>
      <c r="E41" s="15" t="s">
        <v>342</v>
      </c>
      <c r="F41" s="15" t="s">
        <v>199</v>
      </c>
      <c r="G41" s="15" t="s">
        <v>343</v>
      </c>
      <c r="H41" s="15" t="s">
        <v>344</v>
      </c>
      <c r="I41" s="15" t="s">
        <v>19</v>
      </c>
      <c r="J41" s="15" t="s">
        <v>58</v>
      </c>
      <c r="K41" s="15"/>
    </row>
    <row r="42" ht="60.0" customHeight="1">
      <c r="A42" s="15" t="s">
        <v>345</v>
      </c>
      <c r="B42" s="17" t="s">
        <v>10</v>
      </c>
      <c r="C42" s="15" t="s">
        <v>64</v>
      </c>
      <c r="D42" s="15" t="s">
        <v>346</v>
      </c>
      <c r="E42" s="15" t="s">
        <v>347</v>
      </c>
      <c r="F42" s="15" t="s">
        <v>348</v>
      </c>
      <c r="G42" s="15" t="s">
        <v>349</v>
      </c>
      <c r="H42" s="15" t="s">
        <v>350</v>
      </c>
      <c r="I42" s="15" t="s">
        <v>17</v>
      </c>
      <c r="J42" s="15" t="s">
        <v>58</v>
      </c>
      <c r="K42" s="15"/>
    </row>
    <row r="43" ht="60.0" customHeight="1">
      <c r="A43" s="15" t="s">
        <v>351</v>
      </c>
      <c r="B43" s="17" t="s">
        <v>10</v>
      </c>
      <c r="C43" s="15" t="s">
        <v>64</v>
      </c>
      <c r="D43" s="15" t="s">
        <v>352</v>
      </c>
      <c r="E43" s="15" t="s">
        <v>353</v>
      </c>
      <c r="F43" s="15" t="s">
        <v>354</v>
      </c>
      <c r="G43" s="15" t="s">
        <v>355</v>
      </c>
      <c r="H43" s="15" t="s">
        <v>356</v>
      </c>
      <c r="I43" s="15" t="s">
        <v>17</v>
      </c>
      <c r="J43" s="15" t="s">
        <v>58</v>
      </c>
      <c r="K43" s="15"/>
    </row>
    <row r="44" ht="60.0" customHeight="1">
      <c r="A44" s="15" t="s">
        <v>357</v>
      </c>
      <c r="B44" s="17" t="s">
        <v>10</v>
      </c>
      <c r="C44" s="15" t="s">
        <v>64</v>
      </c>
      <c r="D44" s="15" t="s">
        <v>358</v>
      </c>
      <c r="E44" s="15" t="s">
        <v>359</v>
      </c>
      <c r="F44" s="15" t="s">
        <v>360</v>
      </c>
      <c r="G44" s="15" t="s">
        <v>361</v>
      </c>
      <c r="H44" s="15" t="s">
        <v>362</v>
      </c>
      <c r="I44" s="15" t="s">
        <v>17</v>
      </c>
      <c r="J44" s="15" t="s">
        <v>58</v>
      </c>
      <c r="K44" s="15"/>
    </row>
    <row r="45" ht="60.0" customHeight="1">
      <c r="A45" s="15" t="s">
        <v>363</v>
      </c>
      <c r="B45" s="17" t="s">
        <v>10</v>
      </c>
      <c r="C45" s="15" t="s">
        <v>92</v>
      </c>
      <c r="D45" s="15" t="s">
        <v>364</v>
      </c>
      <c r="E45" s="15" t="s">
        <v>365</v>
      </c>
      <c r="F45" s="15" t="s">
        <v>366</v>
      </c>
      <c r="G45" s="15" t="s">
        <v>367</v>
      </c>
      <c r="H45" s="15" t="s">
        <v>368</v>
      </c>
      <c r="I45" s="15" t="s">
        <v>17</v>
      </c>
      <c r="J45" s="15" t="s">
        <v>58</v>
      </c>
      <c r="K45" s="15"/>
    </row>
    <row r="46" ht="60.0" customHeight="1">
      <c r="A46" s="15" t="s">
        <v>369</v>
      </c>
      <c r="B46" s="17" t="s">
        <v>10</v>
      </c>
      <c r="C46" s="15" t="s">
        <v>92</v>
      </c>
      <c r="D46" s="15" t="s">
        <v>370</v>
      </c>
      <c r="E46" s="15" t="s">
        <v>371</v>
      </c>
      <c r="F46" s="15" t="s">
        <v>372</v>
      </c>
      <c r="G46" s="15" t="s">
        <v>373</v>
      </c>
      <c r="H46" s="15" t="s">
        <v>374</v>
      </c>
      <c r="I46" s="15" t="s">
        <v>17</v>
      </c>
      <c r="J46" s="15" t="s">
        <v>58</v>
      </c>
      <c r="K46" s="15"/>
    </row>
    <row r="47" ht="60.0" customHeight="1">
      <c r="A47" s="15" t="s">
        <v>375</v>
      </c>
      <c r="B47" s="17" t="s">
        <v>10</v>
      </c>
      <c r="C47" s="15" t="s">
        <v>63</v>
      </c>
      <c r="D47" s="15" t="s">
        <v>376</v>
      </c>
      <c r="E47" s="15" t="s">
        <v>377</v>
      </c>
      <c r="F47" s="15" t="s">
        <v>378</v>
      </c>
      <c r="G47" s="15" t="s">
        <v>379</v>
      </c>
      <c r="H47" s="15" t="s">
        <v>380</v>
      </c>
      <c r="I47" s="15" t="s">
        <v>15</v>
      </c>
      <c r="J47" s="15" t="s">
        <v>58</v>
      </c>
      <c r="K47" s="15"/>
    </row>
    <row r="48" ht="60.0" customHeight="1">
      <c r="A48" s="15" t="s">
        <v>381</v>
      </c>
      <c r="B48" s="17" t="s">
        <v>10</v>
      </c>
      <c r="C48" s="15" t="s">
        <v>63</v>
      </c>
      <c r="D48" s="15" t="s">
        <v>382</v>
      </c>
      <c r="E48" s="15" t="s">
        <v>383</v>
      </c>
      <c r="F48" s="15" t="s">
        <v>384</v>
      </c>
      <c r="G48" s="15" t="s">
        <v>385</v>
      </c>
      <c r="H48" s="15" t="s">
        <v>386</v>
      </c>
      <c r="I48" s="15" t="s">
        <v>17</v>
      </c>
      <c r="J48" s="15" t="s">
        <v>58</v>
      </c>
      <c r="K48" s="15"/>
    </row>
    <row r="49" ht="60.0" customHeight="1">
      <c r="A49" s="15" t="s">
        <v>387</v>
      </c>
      <c r="B49" s="17" t="s">
        <v>10</v>
      </c>
      <c r="C49" s="15" t="s">
        <v>388</v>
      </c>
      <c r="D49" s="15" t="s">
        <v>389</v>
      </c>
      <c r="E49" s="15" t="s">
        <v>390</v>
      </c>
      <c r="F49" s="15" t="s">
        <v>391</v>
      </c>
      <c r="G49" s="15" t="s">
        <v>392</v>
      </c>
      <c r="H49" s="15" t="s">
        <v>393</v>
      </c>
      <c r="I49" s="15" t="s">
        <v>17</v>
      </c>
      <c r="J49" s="15" t="s">
        <v>58</v>
      </c>
      <c r="K49" s="15"/>
    </row>
    <row r="50" ht="60.0" customHeight="1">
      <c r="A50" s="15" t="s">
        <v>394</v>
      </c>
      <c r="B50" s="17" t="s">
        <v>10</v>
      </c>
      <c r="C50" s="15" t="s">
        <v>388</v>
      </c>
      <c r="D50" s="15" t="s">
        <v>395</v>
      </c>
      <c r="E50" s="15" t="s">
        <v>396</v>
      </c>
      <c r="F50" s="15" t="s">
        <v>397</v>
      </c>
      <c r="G50" s="15" t="s">
        <v>398</v>
      </c>
      <c r="H50" s="15" t="s">
        <v>399</v>
      </c>
      <c r="I50" s="15" t="s">
        <v>17</v>
      </c>
      <c r="J50" s="15" t="s">
        <v>58</v>
      </c>
      <c r="K50" s="15"/>
    </row>
    <row r="51" ht="60.0" customHeight="1">
      <c r="A51" s="15" t="s">
        <v>400</v>
      </c>
      <c r="B51" s="17" t="s">
        <v>10</v>
      </c>
      <c r="C51" s="15" t="s">
        <v>388</v>
      </c>
      <c r="D51" s="15" t="s">
        <v>401</v>
      </c>
      <c r="E51" s="15" t="s">
        <v>402</v>
      </c>
      <c r="F51" s="15" t="s">
        <v>403</v>
      </c>
      <c r="G51" s="15" t="s">
        <v>404</v>
      </c>
      <c r="H51" s="15" t="s">
        <v>405</v>
      </c>
      <c r="I51" s="15" t="s">
        <v>17</v>
      </c>
      <c r="J51" s="15" t="s">
        <v>58</v>
      </c>
      <c r="K51" s="15"/>
    </row>
    <row r="52" ht="60.0" customHeight="1">
      <c r="A52" s="15" t="s">
        <v>406</v>
      </c>
      <c r="B52" s="18" t="s">
        <v>12</v>
      </c>
      <c r="C52" s="15" t="s">
        <v>66</v>
      </c>
      <c r="D52" s="15" t="s">
        <v>407</v>
      </c>
      <c r="E52" s="15" t="s">
        <v>408</v>
      </c>
      <c r="F52" s="15" t="s">
        <v>409</v>
      </c>
      <c r="G52" s="15" t="s">
        <v>410</v>
      </c>
      <c r="H52" s="15" t="s">
        <v>411</v>
      </c>
      <c r="I52" s="15" t="s">
        <v>19</v>
      </c>
      <c r="J52" s="15" t="s">
        <v>58</v>
      </c>
      <c r="K52" s="15"/>
    </row>
    <row r="53" ht="60.0" customHeight="1">
      <c r="A53" s="15" t="s">
        <v>412</v>
      </c>
      <c r="B53" s="18" t="s">
        <v>12</v>
      </c>
      <c r="C53" s="15" t="s">
        <v>66</v>
      </c>
      <c r="D53" s="15" t="s">
        <v>413</v>
      </c>
      <c r="E53" s="15" t="s">
        <v>414</v>
      </c>
      <c r="F53" s="15" t="s">
        <v>415</v>
      </c>
      <c r="G53" s="15" t="s">
        <v>416</v>
      </c>
      <c r="H53" s="15" t="s">
        <v>417</v>
      </c>
      <c r="I53" s="15" t="s">
        <v>19</v>
      </c>
      <c r="J53" s="15" t="s">
        <v>58</v>
      </c>
      <c r="K53" s="15"/>
    </row>
    <row r="54" ht="60.0" customHeight="1">
      <c r="A54" s="15" t="s">
        <v>418</v>
      </c>
      <c r="B54" s="18" t="s">
        <v>12</v>
      </c>
      <c r="C54" s="15" t="s">
        <v>66</v>
      </c>
      <c r="D54" s="15" t="s">
        <v>419</v>
      </c>
      <c r="E54" s="15" t="s">
        <v>420</v>
      </c>
      <c r="F54" s="15" t="s">
        <v>421</v>
      </c>
      <c r="G54" s="15" t="s">
        <v>422</v>
      </c>
      <c r="H54" s="15" t="s">
        <v>423</v>
      </c>
      <c r="I54" s="15" t="s">
        <v>19</v>
      </c>
      <c r="J54" s="15" t="s">
        <v>58</v>
      </c>
      <c r="K54" s="15"/>
    </row>
    <row r="55" ht="60.0" customHeight="1">
      <c r="A55" s="15" t="s">
        <v>424</v>
      </c>
      <c r="B55" s="18" t="s">
        <v>12</v>
      </c>
      <c r="C55" s="15" t="s">
        <v>65</v>
      </c>
      <c r="D55" s="15" t="s">
        <v>425</v>
      </c>
      <c r="E55" s="15" t="s">
        <v>426</v>
      </c>
      <c r="F55" s="15" t="s">
        <v>427</v>
      </c>
      <c r="G55" s="15" t="s">
        <v>428</v>
      </c>
      <c r="H55" s="15" t="s">
        <v>429</v>
      </c>
      <c r="I55" s="15" t="s">
        <v>15</v>
      </c>
      <c r="J55" s="15" t="s">
        <v>58</v>
      </c>
      <c r="K55" s="15"/>
    </row>
    <row r="56" ht="60.0" customHeight="1">
      <c r="A56" s="15" t="s">
        <v>430</v>
      </c>
      <c r="B56" s="18" t="s">
        <v>12</v>
      </c>
      <c r="C56" s="15" t="s">
        <v>65</v>
      </c>
      <c r="D56" s="15" t="s">
        <v>431</v>
      </c>
      <c r="E56" s="15" t="s">
        <v>432</v>
      </c>
      <c r="F56" s="15" t="s">
        <v>433</v>
      </c>
      <c r="G56" s="15" t="s">
        <v>434</v>
      </c>
      <c r="H56" s="15" t="s">
        <v>435</v>
      </c>
      <c r="I56" s="15" t="s">
        <v>17</v>
      </c>
      <c r="J56" s="15" t="s">
        <v>58</v>
      </c>
      <c r="K56" s="15"/>
    </row>
    <row r="57" ht="60.0" customHeight="1">
      <c r="A57" s="15" t="s">
        <v>436</v>
      </c>
      <c r="B57" s="18" t="s">
        <v>12</v>
      </c>
      <c r="C57" s="15" t="s">
        <v>65</v>
      </c>
      <c r="D57" s="15" t="s">
        <v>437</v>
      </c>
      <c r="E57" s="15" t="s">
        <v>438</v>
      </c>
      <c r="F57" s="15" t="s">
        <v>439</v>
      </c>
      <c r="G57" s="15" t="s">
        <v>440</v>
      </c>
      <c r="H57" s="15" t="s">
        <v>441</v>
      </c>
      <c r="I57" s="15" t="s">
        <v>17</v>
      </c>
      <c r="J57" s="15" t="s">
        <v>58</v>
      </c>
      <c r="K57" s="15"/>
    </row>
    <row r="58" ht="60.0" customHeight="1">
      <c r="A58" s="15" t="s">
        <v>442</v>
      </c>
      <c r="B58" s="18" t="s">
        <v>12</v>
      </c>
      <c r="C58" s="15" t="s">
        <v>65</v>
      </c>
      <c r="D58" s="15" t="s">
        <v>443</v>
      </c>
      <c r="E58" s="15" t="s">
        <v>444</v>
      </c>
      <c r="F58" s="15" t="s">
        <v>445</v>
      </c>
      <c r="G58" s="15" t="s">
        <v>446</v>
      </c>
      <c r="H58" s="15" t="s">
        <v>447</v>
      </c>
      <c r="I58" s="15" t="s">
        <v>21</v>
      </c>
      <c r="J58" s="15" t="s">
        <v>58</v>
      </c>
      <c r="K58" s="15" t="s">
        <v>448</v>
      </c>
    </row>
    <row r="59" ht="60.0" customHeight="1">
      <c r="A59" s="15" t="s">
        <v>449</v>
      </c>
      <c r="B59" s="18" t="s">
        <v>12</v>
      </c>
      <c r="C59" s="15" t="s">
        <v>65</v>
      </c>
      <c r="D59" s="15" t="s">
        <v>450</v>
      </c>
      <c r="E59" s="15" t="s">
        <v>451</v>
      </c>
      <c r="F59" s="15" t="s">
        <v>452</v>
      </c>
      <c r="G59" s="15" t="s">
        <v>453</v>
      </c>
      <c r="H59" s="15" t="s">
        <v>454</v>
      </c>
      <c r="I59" s="15" t="s">
        <v>21</v>
      </c>
      <c r="J59" s="15" t="s">
        <v>58</v>
      </c>
      <c r="K59" s="15" t="s">
        <v>448</v>
      </c>
    </row>
    <row r="60" ht="60.0" customHeight="1">
      <c r="A60" s="15" t="s">
        <v>455</v>
      </c>
      <c r="B60" s="18" t="s">
        <v>12</v>
      </c>
      <c r="C60" s="15" t="s">
        <v>65</v>
      </c>
      <c r="D60" s="15" t="s">
        <v>456</v>
      </c>
      <c r="E60" s="15" t="s">
        <v>457</v>
      </c>
      <c r="F60" s="15" t="s">
        <v>458</v>
      </c>
      <c r="G60" s="15" t="s">
        <v>459</v>
      </c>
      <c r="H60" s="15" t="s">
        <v>460</v>
      </c>
      <c r="I60" s="15" t="s">
        <v>21</v>
      </c>
      <c r="J60" s="15" t="s">
        <v>58</v>
      </c>
      <c r="K60" s="15" t="s">
        <v>461</v>
      </c>
    </row>
    <row r="61" ht="60.0" customHeight="1">
      <c r="A61" s="15" t="s">
        <v>462</v>
      </c>
      <c r="B61" s="18" t="s">
        <v>12</v>
      </c>
      <c r="C61" s="15" t="s">
        <v>65</v>
      </c>
      <c r="D61" s="15" t="s">
        <v>463</v>
      </c>
      <c r="E61" s="15" t="s">
        <v>464</v>
      </c>
      <c r="F61" s="15" t="s">
        <v>465</v>
      </c>
      <c r="G61" s="15" t="s">
        <v>466</v>
      </c>
      <c r="H61" s="15" t="s">
        <v>467</v>
      </c>
      <c r="I61" s="15" t="s">
        <v>21</v>
      </c>
      <c r="J61" s="15" t="s">
        <v>58</v>
      </c>
      <c r="K61" s="15" t="s">
        <v>448</v>
      </c>
    </row>
    <row r="62" ht="60.0" customHeight="1">
      <c r="A62" s="15" t="s">
        <v>468</v>
      </c>
      <c r="B62" s="18" t="s">
        <v>12</v>
      </c>
      <c r="C62" s="15" t="s">
        <v>65</v>
      </c>
      <c r="D62" s="15" t="s">
        <v>469</v>
      </c>
      <c r="E62" s="15" t="s">
        <v>470</v>
      </c>
      <c r="F62" s="15" t="s">
        <v>471</v>
      </c>
      <c r="G62" s="15" t="s">
        <v>472</v>
      </c>
      <c r="H62" s="15" t="s">
        <v>473</v>
      </c>
      <c r="I62" s="15" t="s">
        <v>21</v>
      </c>
      <c r="J62" s="15" t="s">
        <v>58</v>
      </c>
      <c r="K62" s="15" t="s">
        <v>474</v>
      </c>
    </row>
    <row r="63" ht="60.0" customHeight="1">
      <c r="A63" s="15" t="s">
        <v>475</v>
      </c>
      <c r="B63" s="18" t="s">
        <v>12</v>
      </c>
      <c r="C63" s="15" t="s">
        <v>65</v>
      </c>
      <c r="D63" s="15" t="s">
        <v>476</v>
      </c>
      <c r="E63" s="15" t="s">
        <v>477</v>
      </c>
      <c r="F63" s="15" t="s">
        <v>478</v>
      </c>
      <c r="G63" s="15" t="s">
        <v>479</v>
      </c>
      <c r="H63" s="15" t="s">
        <v>480</v>
      </c>
      <c r="I63" s="15" t="s">
        <v>21</v>
      </c>
      <c r="J63" s="15" t="s">
        <v>58</v>
      </c>
      <c r="K63" s="15" t="s">
        <v>474</v>
      </c>
    </row>
    <row r="64" ht="60.0" customHeight="1">
      <c r="A64" s="15" t="s">
        <v>481</v>
      </c>
      <c r="B64" s="18" t="s">
        <v>12</v>
      </c>
      <c r="C64" s="15" t="s">
        <v>65</v>
      </c>
      <c r="D64" s="15" t="s">
        <v>482</v>
      </c>
      <c r="E64" s="15" t="s">
        <v>483</v>
      </c>
      <c r="F64" s="15" t="s">
        <v>484</v>
      </c>
      <c r="G64" s="15" t="s">
        <v>485</v>
      </c>
      <c r="H64" s="15" t="s">
        <v>486</v>
      </c>
      <c r="I64" s="15" t="s">
        <v>21</v>
      </c>
      <c r="J64" s="15" t="s">
        <v>58</v>
      </c>
      <c r="K64" s="15" t="s">
        <v>474</v>
      </c>
    </row>
    <row r="65" ht="60.0" customHeight="1">
      <c r="A65" s="15" t="s">
        <v>487</v>
      </c>
      <c r="B65" s="18" t="s">
        <v>12</v>
      </c>
      <c r="C65" s="15" t="s">
        <v>488</v>
      </c>
      <c r="D65" s="15" t="s">
        <v>489</v>
      </c>
      <c r="E65" s="15" t="s">
        <v>490</v>
      </c>
      <c r="F65" s="15" t="s">
        <v>491</v>
      </c>
      <c r="G65" s="15" t="s">
        <v>492</v>
      </c>
      <c r="H65" s="15" t="s">
        <v>493</v>
      </c>
      <c r="I65" s="15" t="s">
        <v>19</v>
      </c>
      <c r="J65" s="15" t="s">
        <v>58</v>
      </c>
      <c r="K65" s="15"/>
    </row>
    <row r="66" ht="60.0" customHeight="1">
      <c r="A66" s="15" t="s">
        <v>494</v>
      </c>
      <c r="B66" s="18" t="s">
        <v>12</v>
      </c>
      <c r="C66" s="15" t="s">
        <v>488</v>
      </c>
      <c r="D66" s="15" t="s">
        <v>495</v>
      </c>
      <c r="E66" s="15" t="s">
        <v>496</v>
      </c>
      <c r="F66" s="15" t="s">
        <v>497</v>
      </c>
      <c r="G66" s="15" t="s">
        <v>498</v>
      </c>
      <c r="H66" s="15" t="s">
        <v>499</v>
      </c>
      <c r="I66" s="15" t="s">
        <v>17</v>
      </c>
      <c r="J66" s="15" t="s">
        <v>58</v>
      </c>
      <c r="K66" s="15"/>
    </row>
    <row r="67" ht="60.0" customHeight="1">
      <c r="A67" s="15" t="s">
        <v>500</v>
      </c>
      <c r="B67" s="18" t="s">
        <v>12</v>
      </c>
      <c r="C67" s="15" t="s">
        <v>501</v>
      </c>
      <c r="D67" s="15" t="s">
        <v>300</v>
      </c>
      <c r="E67" s="15" t="s">
        <v>502</v>
      </c>
      <c r="F67" s="15" t="s">
        <v>503</v>
      </c>
      <c r="G67" s="15" t="s">
        <v>504</v>
      </c>
      <c r="H67" s="15" t="s">
        <v>505</v>
      </c>
      <c r="I67" s="15" t="s">
        <v>15</v>
      </c>
      <c r="J67" s="15" t="s">
        <v>58</v>
      </c>
      <c r="K67" s="15"/>
    </row>
    <row r="68" ht="60.0" customHeight="1">
      <c r="A68" s="15" t="s">
        <v>506</v>
      </c>
      <c r="B68" s="18" t="s">
        <v>12</v>
      </c>
      <c r="C68" s="15" t="s">
        <v>501</v>
      </c>
      <c r="D68" s="15" t="s">
        <v>507</v>
      </c>
      <c r="E68" s="15" t="s">
        <v>508</v>
      </c>
      <c r="F68" s="15" t="s">
        <v>509</v>
      </c>
      <c r="G68" s="15" t="s">
        <v>510</v>
      </c>
      <c r="H68" s="15" t="s">
        <v>511</v>
      </c>
      <c r="I68" s="15" t="s">
        <v>15</v>
      </c>
      <c r="J68" s="15" t="s">
        <v>58</v>
      </c>
      <c r="K68" s="15"/>
    </row>
    <row r="69" ht="60.0" customHeight="1">
      <c r="A69" s="15" t="s">
        <v>512</v>
      </c>
      <c r="B69" s="18" t="s">
        <v>12</v>
      </c>
      <c r="C69" s="15" t="s">
        <v>513</v>
      </c>
      <c r="D69" s="15" t="s">
        <v>514</v>
      </c>
      <c r="E69" s="15" t="s">
        <v>515</v>
      </c>
      <c r="F69" s="15" t="s">
        <v>516</v>
      </c>
      <c r="G69" s="15" t="s">
        <v>517</v>
      </c>
      <c r="H69" s="15" t="s">
        <v>518</v>
      </c>
      <c r="I69" s="15" t="s">
        <v>17</v>
      </c>
      <c r="J69" s="15" t="s">
        <v>58</v>
      </c>
      <c r="K69" s="15"/>
    </row>
    <row r="70" ht="60.0" customHeight="1">
      <c r="A70" s="15" t="s">
        <v>519</v>
      </c>
      <c r="B70" s="18" t="s">
        <v>12</v>
      </c>
      <c r="C70" s="15" t="s">
        <v>513</v>
      </c>
      <c r="D70" s="15" t="s">
        <v>520</v>
      </c>
      <c r="E70" s="15" t="s">
        <v>521</v>
      </c>
      <c r="F70" s="15" t="s">
        <v>522</v>
      </c>
      <c r="G70" s="15" t="s">
        <v>523</v>
      </c>
      <c r="H70" s="15" t="s">
        <v>524</v>
      </c>
      <c r="I70" s="15" t="s">
        <v>19</v>
      </c>
      <c r="J70" s="15" t="s">
        <v>58</v>
      </c>
      <c r="K70" s="15"/>
    </row>
    <row r="71" ht="60.0" customHeight="1">
      <c r="A71" s="15" t="s">
        <v>525</v>
      </c>
      <c r="B71" s="17" t="s">
        <v>10</v>
      </c>
      <c r="C71" s="15" t="s">
        <v>44</v>
      </c>
      <c r="D71" s="15" t="s">
        <v>526</v>
      </c>
      <c r="E71" s="15" t="s">
        <v>527</v>
      </c>
      <c r="F71" s="15" t="s">
        <v>528</v>
      </c>
      <c r="G71" s="15" t="s">
        <v>529</v>
      </c>
      <c r="H71" s="15" t="s">
        <v>530</v>
      </c>
      <c r="I71" s="15" t="s">
        <v>19</v>
      </c>
      <c r="J71" s="15" t="s">
        <v>58</v>
      </c>
      <c r="K71" s="15" t="s">
        <v>531</v>
      </c>
    </row>
    <row r="72" ht="60.0" customHeight="1">
      <c r="A72" s="15" t="s">
        <v>532</v>
      </c>
      <c r="B72" s="17" t="s">
        <v>10</v>
      </c>
      <c r="C72" s="15" t="s">
        <v>44</v>
      </c>
      <c r="D72" s="15" t="s">
        <v>526</v>
      </c>
      <c r="E72" s="15" t="s">
        <v>533</v>
      </c>
      <c r="F72" s="15" t="s">
        <v>534</v>
      </c>
      <c r="G72" s="15" t="s">
        <v>535</v>
      </c>
      <c r="H72" s="15" t="s">
        <v>536</v>
      </c>
      <c r="I72" s="15" t="s">
        <v>19</v>
      </c>
      <c r="J72" s="15" t="s">
        <v>58</v>
      </c>
      <c r="K72" s="15" t="s">
        <v>537</v>
      </c>
    </row>
    <row r="73" ht="60.0" customHeight="1">
      <c r="A73" s="15" t="s">
        <v>538</v>
      </c>
      <c r="B73" s="17" t="s">
        <v>10</v>
      </c>
      <c r="C73" s="15" t="s">
        <v>44</v>
      </c>
      <c r="D73" s="15" t="s">
        <v>539</v>
      </c>
      <c r="E73" s="15" t="s">
        <v>540</v>
      </c>
      <c r="F73" s="15" t="s">
        <v>541</v>
      </c>
      <c r="G73" s="15" t="s">
        <v>542</v>
      </c>
      <c r="H73" s="15" t="s">
        <v>543</v>
      </c>
      <c r="I73" s="15" t="s">
        <v>19</v>
      </c>
      <c r="J73" s="15" t="s">
        <v>58</v>
      </c>
      <c r="K73" s="15" t="s">
        <v>544</v>
      </c>
    </row>
    <row r="74" ht="60.0" customHeight="1">
      <c r="A74" s="15" t="s">
        <v>545</v>
      </c>
      <c r="B74" s="17" t="s">
        <v>10</v>
      </c>
      <c r="C74" s="15" t="s">
        <v>44</v>
      </c>
      <c r="D74" s="15" t="s">
        <v>546</v>
      </c>
      <c r="E74" s="15" t="s">
        <v>547</v>
      </c>
      <c r="F74" s="15" t="s">
        <v>548</v>
      </c>
      <c r="G74" s="15" t="s">
        <v>549</v>
      </c>
      <c r="H74" s="15" t="s">
        <v>550</v>
      </c>
      <c r="I74" s="15" t="s">
        <v>19</v>
      </c>
      <c r="J74" s="15" t="s">
        <v>58</v>
      </c>
      <c r="K74" s="15" t="s">
        <v>551</v>
      </c>
    </row>
    <row r="75" ht="60.0" customHeight="1">
      <c r="A75" s="15" t="s">
        <v>552</v>
      </c>
      <c r="B75" s="17" t="s">
        <v>10</v>
      </c>
      <c r="C75" s="15" t="s">
        <v>44</v>
      </c>
      <c r="D75" s="15" t="s">
        <v>553</v>
      </c>
      <c r="E75" s="15" t="s">
        <v>554</v>
      </c>
      <c r="F75" s="15" t="s">
        <v>555</v>
      </c>
      <c r="G75" s="15" t="s">
        <v>556</v>
      </c>
      <c r="H75" s="15" t="s">
        <v>557</v>
      </c>
      <c r="I75" s="15" t="s">
        <v>19</v>
      </c>
      <c r="J75" s="15" t="s">
        <v>58</v>
      </c>
      <c r="K75" s="15" t="s">
        <v>558</v>
      </c>
    </row>
    <row r="76" ht="60.0" customHeight="1">
      <c r="A76" s="15" t="s">
        <v>559</v>
      </c>
      <c r="B76" s="17" t="s">
        <v>10</v>
      </c>
      <c r="C76" s="15" t="s">
        <v>44</v>
      </c>
      <c r="D76" s="15" t="s">
        <v>63</v>
      </c>
      <c r="E76" s="15" t="s">
        <v>560</v>
      </c>
      <c r="F76" s="15" t="s">
        <v>561</v>
      </c>
      <c r="G76" s="15" t="s">
        <v>562</v>
      </c>
      <c r="H76" s="15" t="s">
        <v>563</v>
      </c>
      <c r="I76" s="15" t="s">
        <v>17</v>
      </c>
      <c r="J76" s="15" t="s">
        <v>58</v>
      </c>
      <c r="K76" s="15" t="s">
        <v>564</v>
      </c>
    </row>
    <row r="77" ht="60.0" customHeight="1">
      <c r="A77" s="15" t="s">
        <v>565</v>
      </c>
      <c r="B77" s="17" t="s">
        <v>10</v>
      </c>
      <c r="C77" s="15" t="s">
        <v>44</v>
      </c>
      <c r="D77" s="15" t="s">
        <v>566</v>
      </c>
      <c r="E77" s="15" t="s">
        <v>567</v>
      </c>
      <c r="F77" s="15" t="s">
        <v>568</v>
      </c>
      <c r="G77" s="15" t="s">
        <v>569</v>
      </c>
      <c r="H77" s="15" t="s">
        <v>570</v>
      </c>
      <c r="I77" s="15" t="s">
        <v>19</v>
      </c>
      <c r="J77" s="15" t="s">
        <v>58</v>
      </c>
      <c r="K77" s="15" t="s">
        <v>571</v>
      </c>
    </row>
    <row r="78" ht="60.0" customHeight="1">
      <c r="A78" s="15" t="s">
        <v>572</v>
      </c>
      <c r="B78" s="17" t="s">
        <v>10</v>
      </c>
      <c r="C78" s="15" t="s">
        <v>44</v>
      </c>
      <c r="D78" s="15" t="s">
        <v>573</v>
      </c>
      <c r="E78" s="15" t="s">
        <v>574</v>
      </c>
      <c r="F78" s="15" t="s">
        <v>575</v>
      </c>
      <c r="G78" s="15" t="s">
        <v>576</v>
      </c>
      <c r="H78" s="15" t="s">
        <v>577</v>
      </c>
      <c r="I78" s="15" t="s">
        <v>17</v>
      </c>
      <c r="J78" s="15" t="s">
        <v>58</v>
      </c>
      <c r="K78" s="15" t="s">
        <v>578</v>
      </c>
    </row>
    <row r="79" ht="60.0" customHeight="1">
      <c r="A79" s="15" t="s">
        <v>579</v>
      </c>
      <c r="B79" s="17" t="s">
        <v>10</v>
      </c>
      <c r="C79" s="15" t="s">
        <v>44</v>
      </c>
      <c r="D79" s="15" t="s">
        <v>413</v>
      </c>
      <c r="E79" s="15" t="s">
        <v>580</v>
      </c>
      <c r="F79" s="15" t="s">
        <v>581</v>
      </c>
      <c r="G79" s="15" t="s">
        <v>582</v>
      </c>
      <c r="H79" s="15" t="s">
        <v>583</v>
      </c>
      <c r="I79" s="15" t="s">
        <v>19</v>
      </c>
      <c r="J79" s="15" t="s">
        <v>58</v>
      </c>
      <c r="K79" s="15" t="s">
        <v>584</v>
      </c>
    </row>
    <row r="80" ht="60.0" customHeight="1">
      <c r="A80" s="15" t="s">
        <v>585</v>
      </c>
      <c r="B80" s="17" t="s">
        <v>10</v>
      </c>
      <c r="C80" s="15" t="s">
        <v>44</v>
      </c>
      <c r="D80" s="15" t="s">
        <v>586</v>
      </c>
      <c r="E80" s="15" t="s">
        <v>587</v>
      </c>
      <c r="F80" s="15" t="s">
        <v>588</v>
      </c>
      <c r="G80" s="15" t="s">
        <v>589</v>
      </c>
      <c r="H80" s="15" t="s">
        <v>590</v>
      </c>
      <c r="I80" s="15" t="s">
        <v>17</v>
      </c>
      <c r="J80" s="15" t="s">
        <v>58</v>
      </c>
      <c r="K80" s="15" t="s">
        <v>591</v>
      </c>
    </row>
    <row r="81" ht="60.0" customHeight="1">
      <c r="A81" s="15" t="s">
        <v>592</v>
      </c>
      <c r="B81" s="17" t="s">
        <v>10</v>
      </c>
      <c r="C81" s="15" t="s">
        <v>44</v>
      </c>
      <c r="D81" s="15" t="s">
        <v>593</v>
      </c>
      <c r="E81" s="15" t="s">
        <v>594</v>
      </c>
      <c r="F81" s="15" t="s">
        <v>595</v>
      </c>
      <c r="G81" s="15" t="s">
        <v>596</v>
      </c>
      <c r="H81" s="15" t="s">
        <v>597</v>
      </c>
      <c r="I81" s="15" t="s">
        <v>19</v>
      </c>
      <c r="J81" s="15" t="s">
        <v>58</v>
      </c>
      <c r="K81" s="15" t="s">
        <v>598</v>
      </c>
    </row>
    <row r="82" ht="60.0" customHeight="1">
      <c r="A82" s="15" t="s">
        <v>599</v>
      </c>
      <c r="B82" s="17" t="s">
        <v>10</v>
      </c>
      <c r="C82" s="15" t="s">
        <v>44</v>
      </c>
      <c r="D82" s="15" t="s">
        <v>593</v>
      </c>
      <c r="E82" s="15" t="s">
        <v>600</v>
      </c>
      <c r="F82" s="15" t="s">
        <v>601</v>
      </c>
      <c r="G82" s="15" t="s">
        <v>602</v>
      </c>
      <c r="H82" s="15" t="s">
        <v>603</v>
      </c>
      <c r="I82" s="15" t="s">
        <v>17</v>
      </c>
      <c r="J82" s="15" t="s">
        <v>58</v>
      </c>
      <c r="K82" s="15" t="s">
        <v>604</v>
      </c>
    </row>
    <row r="83" ht="60.0" customHeight="1">
      <c r="A83" s="15" t="s">
        <v>605</v>
      </c>
      <c r="B83" s="17" t="s">
        <v>10</v>
      </c>
      <c r="C83" s="15" t="s">
        <v>44</v>
      </c>
      <c r="D83" s="15" t="s">
        <v>606</v>
      </c>
      <c r="E83" s="15" t="s">
        <v>607</v>
      </c>
      <c r="F83" s="15" t="s">
        <v>608</v>
      </c>
      <c r="G83" s="15" t="s">
        <v>609</v>
      </c>
      <c r="H83" s="15" t="s">
        <v>610</v>
      </c>
      <c r="I83" s="15" t="s">
        <v>19</v>
      </c>
      <c r="J83" s="15" t="s">
        <v>58</v>
      </c>
      <c r="K83" s="15" t="s">
        <v>611</v>
      </c>
    </row>
    <row r="84" ht="60.0" customHeight="1">
      <c r="A84" s="15" t="s">
        <v>612</v>
      </c>
      <c r="B84" s="17" t="s">
        <v>10</v>
      </c>
      <c r="C84" s="15" t="s">
        <v>46</v>
      </c>
      <c r="D84" s="15" t="s">
        <v>613</v>
      </c>
      <c r="E84" s="15" t="s">
        <v>614</v>
      </c>
      <c r="F84" s="15" t="s">
        <v>615</v>
      </c>
      <c r="G84" s="15" t="s">
        <v>616</v>
      </c>
      <c r="H84" s="15" t="s">
        <v>617</v>
      </c>
      <c r="I84" s="15" t="s">
        <v>19</v>
      </c>
      <c r="J84" s="15" t="s">
        <v>58</v>
      </c>
      <c r="K84" s="15" t="s">
        <v>531</v>
      </c>
    </row>
    <row r="85" ht="60.0" customHeight="1">
      <c r="A85" s="15" t="s">
        <v>618</v>
      </c>
      <c r="B85" s="17" t="s">
        <v>10</v>
      </c>
      <c r="C85" s="15" t="s">
        <v>46</v>
      </c>
      <c r="D85" s="15" t="s">
        <v>613</v>
      </c>
      <c r="E85" s="15" t="s">
        <v>619</v>
      </c>
      <c r="F85" s="15" t="s">
        <v>620</v>
      </c>
      <c r="G85" s="15" t="s">
        <v>621</v>
      </c>
      <c r="H85" s="15" t="s">
        <v>622</v>
      </c>
      <c r="I85" s="15" t="s">
        <v>19</v>
      </c>
      <c r="J85" s="15" t="s">
        <v>58</v>
      </c>
      <c r="K85" s="15" t="s">
        <v>537</v>
      </c>
    </row>
    <row r="86" ht="60.0" customHeight="1">
      <c r="A86" s="15" t="s">
        <v>623</v>
      </c>
      <c r="B86" s="17" t="s">
        <v>10</v>
      </c>
      <c r="C86" s="15" t="s">
        <v>46</v>
      </c>
      <c r="D86" s="15" t="s">
        <v>624</v>
      </c>
      <c r="E86" s="15" t="s">
        <v>625</v>
      </c>
      <c r="F86" s="15" t="s">
        <v>615</v>
      </c>
      <c r="G86" s="15" t="s">
        <v>626</v>
      </c>
      <c r="H86" s="15" t="s">
        <v>617</v>
      </c>
      <c r="I86" s="15" t="s">
        <v>19</v>
      </c>
      <c r="J86" s="15" t="s">
        <v>58</v>
      </c>
      <c r="K86" s="15" t="s">
        <v>544</v>
      </c>
    </row>
    <row r="87" ht="60.0" customHeight="1">
      <c r="A87" s="15" t="s">
        <v>627</v>
      </c>
      <c r="B87" s="17" t="s">
        <v>10</v>
      </c>
      <c r="C87" s="15" t="s">
        <v>46</v>
      </c>
      <c r="D87" s="15" t="s">
        <v>624</v>
      </c>
      <c r="E87" s="15" t="s">
        <v>628</v>
      </c>
      <c r="F87" s="15" t="s">
        <v>620</v>
      </c>
      <c r="G87" s="15" t="s">
        <v>629</v>
      </c>
      <c r="H87" s="15" t="s">
        <v>622</v>
      </c>
      <c r="I87" s="15" t="s">
        <v>19</v>
      </c>
      <c r="J87" s="15" t="s">
        <v>58</v>
      </c>
      <c r="K87" s="15" t="s">
        <v>551</v>
      </c>
    </row>
    <row r="88" ht="60.0" customHeight="1">
      <c r="A88" s="15" t="s">
        <v>630</v>
      </c>
      <c r="B88" s="18" t="s">
        <v>12</v>
      </c>
      <c r="C88" s="15" t="s">
        <v>46</v>
      </c>
      <c r="D88" s="15" t="s">
        <v>631</v>
      </c>
      <c r="E88" s="15" t="s">
        <v>632</v>
      </c>
      <c r="F88" s="15" t="s">
        <v>633</v>
      </c>
      <c r="G88" s="15" t="s">
        <v>634</v>
      </c>
      <c r="H88" s="15" t="s">
        <v>635</v>
      </c>
      <c r="I88" s="15" t="s">
        <v>19</v>
      </c>
      <c r="J88" s="15" t="s">
        <v>58</v>
      </c>
      <c r="K88" s="15" t="s">
        <v>636</v>
      </c>
    </row>
    <row r="89" ht="60.0" customHeight="1">
      <c r="A89" s="15" t="s">
        <v>637</v>
      </c>
      <c r="B89" s="17" t="s">
        <v>10</v>
      </c>
      <c r="C89" s="15" t="s">
        <v>46</v>
      </c>
      <c r="D89" s="15" t="s">
        <v>638</v>
      </c>
      <c r="E89" s="15" t="s">
        <v>639</v>
      </c>
      <c r="F89" s="15" t="s">
        <v>640</v>
      </c>
      <c r="G89" s="15" t="s">
        <v>641</v>
      </c>
      <c r="H89" s="15" t="s">
        <v>642</v>
      </c>
      <c r="I89" s="15" t="s">
        <v>17</v>
      </c>
      <c r="J89" s="15" t="s">
        <v>58</v>
      </c>
      <c r="K89" s="15" t="s">
        <v>643</v>
      </c>
    </row>
    <row r="90" ht="60.0" customHeight="1">
      <c r="A90" s="15" t="s">
        <v>644</v>
      </c>
      <c r="B90" s="17" t="s">
        <v>10</v>
      </c>
      <c r="C90" s="15" t="s">
        <v>46</v>
      </c>
      <c r="D90" s="15" t="s">
        <v>586</v>
      </c>
      <c r="E90" s="15" t="s">
        <v>645</v>
      </c>
      <c r="F90" s="15" t="s">
        <v>646</v>
      </c>
      <c r="G90" s="15" t="s">
        <v>647</v>
      </c>
      <c r="H90" s="15" t="s">
        <v>648</v>
      </c>
      <c r="I90" s="15" t="s">
        <v>17</v>
      </c>
      <c r="J90" s="15" t="s">
        <v>58</v>
      </c>
      <c r="K90" s="15" t="s">
        <v>649</v>
      </c>
    </row>
    <row r="91" ht="60.0" customHeight="1">
      <c r="A91" s="15" t="s">
        <v>650</v>
      </c>
      <c r="B91" s="17" t="s">
        <v>10</v>
      </c>
      <c r="C91" s="15" t="s">
        <v>46</v>
      </c>
      <c r="D91" s="15" t="s">
        <v>651</v>
      </c>
      <c r="E91" s="15" t="s">
        <v>652</v>
      </c>
      <c r="F91" s="15" t="s">
        <v>653</v>
      </c>
      <c r="G91" s="15" t="s">
        <v>654</v>
      </c>
      <c r="H91" s="15" t="s">
        <v>655</v>
      </c>
      <c r="I91" s="15" t="s">
        <v>17</v>
      </c>
      <c r="J91" s="15" t="s">
        <v>58</v>
      </c>
      <c r="K91" s="15" t="s">
        <v>656</v>
      </c>
    </row>
    <row r="92" ht="60.0" customHeight="1">
      <c r="A92" s="15" t="s">
        <v>657</v>
      </c>
      <c r="B92" s="17" t="s">
        <v>10</v>
      </c>
      <c r="C92" s="15" t="s">
        <v>46</v>
      </c>
      <c r="D92" s="15" t="s">
        <v>658</v>
      </c>
      <c r="E92" s="15" t="s">
        <v>659</v>
      </c>
      <c r="F92" s="15" t="s">
        <v>660</v>
      </c>
      <c r="G92" s="15" t="s">
        <v>661</v>
      </c>
      <c r="H92" s="15" t="s">
        <v>662</v>
      </c>
      <c r="I92" s="15" t="s">
        <v>17</v>
      </c>
      <c r="J92" s="15" t="s">
        <v>58</v>
      </c>
      <c r="K92" s="15" t="s">
        <v>663</v>
      </c>
    </row>
    <row r="93" ht="60.0" customHeight="1">
      <c r="A93" s="15" t="s">
        <v>664</v>
      </c>
      <c r="B93" s="17" t="s">
        <v>10</v>
      </c>
      <c r="C93" s="15" t="s">
        <v>48</v>
      </c>
      <c r="D93" s="15" t="s">
        <v>526</v>
      </c>
      <c r="E93" s="15" t="s">
        <v>665</v>
      </c>
      <c r="F93" s="15" t="s">
        <v>666</v>
      </c>
      <c r="G93" s="15" t="s">
        <v>667</v>
      </c>
      <c r="H93" s="15" t="s">
        <v>668</v>
      </c>
      <c r="I93" s="15" t="s">
        <v>19</v>
      </c>
      <c r="J93" s="15" t="s">
        <v>58</v>
      </c>
      <c r="K93" s="15" t="s">
        <v>531</v>
      </c>
    </row>
    <row r="94" ht="60.0" customHeight="1">
      <c r="A94" s="15" t="s">
        <v>669</v>
      </c>
      <c r="B94" s="17" t="s">
        <v>10</v>
      </c>
      <c r="C94" s="15" t="s">
        <v>48</v>
      </c>
      <c r="D94" s="15" t="s">
        <v>670</v>
      </c>
      <c r="E94" s="15" t="s">
        <v>671</v>
      </c>
      <c r="F94" s="15" t="s">
        <v>672</v>
      </c>
      <c r="G94" s="15" t="s">
        <v>673</v>
      </c>
      <c r="H94" s="15" t="s">
        <v>674</v>
      </c>
      <c r="I94" s="15" t="s">
        <v>19</v>
      </c>
      <c r="J94" s="15" t="s">
        <v>58</v>
      </c>
      <c r="K94" s="15" t="s">
        <v>537</v>
      </c>
    </row>
    <row r="95" ht="60.0" customHeight="1">
      <c r="A95" s="15" t="s">
        <v>675</v>
      </c>
      <c r="B95" s="17" t="s">
        <v>10</v>
      </c>
      <c r="C95" s="15" t="s">
        <v>48</v>
      </c>
      <c r="D95" s="15" t="s">
        <v>676</v>
      </c>
      <c r="E95" s="15" t="s">
        <v>677</v>
      </c>
      <c r="F95" s="15" t="s">
        <v>678</v>
      </c>
      <c r="G95" s="15" t="s">
        <v>679</v>
      </c>
      <c r="H95" s="15" t="s">
        <v>680</v>
      </c>
      <c r="I95" s="15" t="s">
        <v>19</v>
      </c>
      <c r="J95" s="15" t="s">
        <v>58</v>
      </c>
      <c r="K95" s="15" t="s">
        <v>681</v>
      </c>
    </row>
    <row r="96" ht="60.0" customHeight="1">
      <c r="A96" s="15" t="s">
        <v>682</v>
      </c>
      <c r="B96" s="17" t="s">
        <v>10</v>
      </c>
      <c r="C96" s="15" t="s">
        <v>48</v>
      </c>
      <c r="D96" s="15" t="s">
        <v>683</v>
      </c>
      <c r="E96" s="15" t="s">
        <v>684</v>
      </c>
      <c r="F96" s="15" t="s">
        <v>685</v>
      </c>
      <c r="G96" s="15" t="s">
        <v>686</v>
      </c>
      <c r="H96" s="15" t="s">
        <v>687</v>
      </c>
      <c r="I96" s="15" t="s">
        <v>19</v>
      </c>
      <c r="J96" s="15" t="s">
        <v>58</v>
      </c>
      <c r="K96" s="15" t="s">
        <v>551</v>
      </c>
    </row>
    <row r="97" ht="60.0" customHeight="1">
      <c r="A97" s="15" t="s">
        <v>688</v>
      </c>
      <c r="B97" s="17" t="s">
        <v>10</v>
      </c>
      <c r="C97" s="15" t="s">
        <v>48</v>
      </c>
      <c r="D97" s="15" t="s">
        <v>689</v>
      </c>
      <c r="E97" s="15" t="s">
        <v>690</v>
      </c>
      <c r="F97" s="15" t="s">
        <v>691</v>
      </c>
      <c r="G97" s="15" t="s">
        <v>692</v>
      </c>
      <c r="H97" s="15" t="s">
        <v>693</v>
      </c>
      <c r="I97" s="15" t="s">
        <v>19</v>
      </c>
      <c r="J97" s="15" t="s">
        <v>58</v>
      </c>
      <c r="K97" s="15" t="s">
        <v>636</v>
      </c>
    </row>
    <row r="98" ht="60.0" customHeight="1">
      <c r="A98" s="15" t="s">
        <v>694</v>
      </c>
      <c r="B98" s="17" t="s">
        <v>10</v>
      </c>
      <c r="C98" s="15" t="s">
        <v>48</v>
      </c>
      <c r="D98" s="15" t="s">
        <v>695</v>
      </c>
      <c r="E98" s="15" t="s">
        <v>696</v>
      </c>
      <c r="F98" s="15" t="s">
        <v>691</v>
      </c>
      <c r="G98" s="15" t="s">
        <v>697</v>
      </c>
      <c r="H98" s="15" t="s">
        <v>698</v>
      </c>
      <c r="I98" s="15" t="s">
        <v>19</v>
      </c>
      <c r="J98" s="15" t="s">
        <v>58</v>
      </c>
      <c r="K98" s="15" t="s">
        <v>699</v>
      </c>
    </row>
    <row r="99" ht="60.0" customHeight="1">
      <c r="A99" s="15" t="s">
        <v>700</v>
      </c>
      <c r="B99" s="17" t="s">
        <v>10</v>
      </c>
      <c r="C99" s="15" t="s">
        <v>48</v>
      </c>
      <c r="D99" s="15" t="s">
        <v>701</v>
      </c>
      <c r="E99" s="15" t="s">
        <v>702</v>
      </c>
      <c r="F99" s="15" t="s">
        <v>703</v>
      </c>
      <c r="G99" s="15" t="s">
        <v>704</v>
      </c>
      <c r="H99" s="15" t="s">
        <v>705</v>
      </c>
      <c r="I99" s="15" t="s">
        <v>19</v>
      </c>
      <c r="J99" s="15" t="s">
        <v>58</v>
      </c>
      <c r="K99" s="15" t="s">
        <v>706</v>
      </c>
    </row>
    <row r="100" ht="60.0" customHeight="1">
      <c r="A100" s="15" t="s">
        <v>707</v>
      </c>
      <c r="B100" s="17" t="s">
        <v>10</v>
      </c>
      <c r="C100" s="15" t="s">
        <v>48</v>
      </c>
      <c r="D100" s="15" t="s">
        <v>708</v>
      </c>
      <c r="E100" s="15" t="s">
        <v>709</v>
      </c>
      <c r="F100" s="15" t="s">
        <v>710</v>
      </c>
      <c r="G100" s="15" t="s">
        <v>711</v>
      </c>
      <c r="H100" s="15" t="s">
        <v>712</v>
      </c>
      <c r="I100" s="15" t="s">
        <v>19</v>
      </c>
      <c r="J100" s="15" t="s">
        <v>58</v>
      </c>
      <c r="K100" s="15" t="s">
        <v>643</v>
      </c>
    </row>
    <row r="101" ht="60.0" customHeight="1">
      <c r="A101" s="15" t="s">
        <v>713</v>
      </c>
      <c r="B101" s="17" t="s">
        <v>10</v>
      </c>
      <c r="C101" s="15" t="s">
        <v>48</v>
      </c>
      <c r="D101" s="15" t="s">
        <v>714</v>
      </c>
      <c r="E101" s="15" t="s">
        <v>715</v>
      </c>
      <c r="F101" s="15" t="s">
        <v>716</v>
      </c>
      <c r="G101" s="15" t="s">
        <v>717</v>
      </c>
      <c r="H101" s="15" t="s">
        <v>718</v>
      </c>
      <c r="I101" s="15" t="s">
        <v>19</v>
      </c>
      <c r="J101" s="15" t="s">
        <v>58</v>
      </c>
      <c r="K101" s="15" t="s">
        <v>719</v>
      </c>
    </row>
    <row r="102" ht="60.0" customHeight="1">
      <c r="A102" s="15" t="s">
        <v>720</v>
      </c>
      <c r="B102" s="17" t="s">
        <v>10</v>
      </c>
      <c r="C102" s="15" t="s">
        <v>48</v>
      </c>
      <c r="D102" s="15" t="s">
        <v>721</v>
      </c>
      <c r="E102" s="15" t="s">
        <v>722</v>
      </c>
      <c r="F102" s="15" t="s">
        <v>716</v>
      </c>
      <c r="G102" s="15" t="s">
        <v>723</v>
      </c>
      <c r="H102" s="15" t="s">
        <v>724</v>
      </c>
      <c r="I102" s="15" t="s">
        <v>19</v>
      </c>
      <c r="J102" s="15" t="s">
        <v>58</v>
      </c>
      <c r="K102" s="15" t="s">
        <v>725</v>
      </c>
    </row>
    <row r="103" ht="60.0" customHeight="1">
      <c r="A103" s="15" t="s">
        <v>726</v>
      </c>
      <c r="B103" s="17" t="s">
        <v>10</v>
      </c>
      <c r="C103" s="15" t="s">
        <v>48</v>
      </c>
      <c r="D103" s="15" t="s">
        <v>658</v>
      </c>
      <c r="E103" s="15" t="s">
        <v>727</v>
      </c>
      <c r="F103" s="15" t="s">
        <v>728</v>
      </c>
      <c r="G103" s="15" t="s">
        <v>729</v>
      </c>
      <c r="H103" s="15" t="s">
        <v>730</v>
      </c>
      <c r="I103" s="15" t="s">
        <v>19</v>
      </c>
      <c r="J103" s="15" t="s">
        <v>58</v>
      </c>
      <c r="K103" s="15" t="s">
        <v>731</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J2:J103">
      <formula1>"Not Started,In Progress,Passed,Failed,Blocked,Not Applicable"</formula1>
    </dataValidation>
    <dataValidation type="list" allowBlank="1" sqref="I2:I103">
      <formula1>"Unit,Integration,E2E,Manual"</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25.0"/>
    <col customWidth="1" min="4" max="4" width="20.0"/>
    <col customWidth="1" min="5" max="5" width="40.0"/>
    <col customWidth="1" min="6" max="6" width="35.0"/>
    <col customWidth="1" min="7" max="7" width="50.0"/>
    <col customWidth="1" min="8" max="8" width="40.0"/>
    <col customWidth="1" min="9" max="10" width="15.0"/>
    <col customWidth="1" min="11" max="11" width="30.0"/>
    <col customWidth="1" min="12" max="26" width="8.71"/>
  </cols>
  <sheetData>
    <row r="1">
      <c r="A1" s="14" t="s">
        <v>70</v>
      </c>
      <c r="B1" s="14" t="s">
        <v>71</v>
      </c>
      <c r="C1" s="14" t="s">
        <v>60</v>
      </c>
      <c r="D1" s="14" t="s">
        <v>34</v>
      </c>
      <c r="E1" s="14" t="s">
        <v>72</v>
      </c>
      <c r="F1" s="14" t="s">
        <v>73</v>
      </c>
      <c r="G1" s="14" t="s">
        <v>74</v>
      </c>
      <c r="H1" s="14" t="s">
        <v>75</v>
      </c>
      <c r="I1" s="14" t="s">
        <v>68</v>
      </c>
      <c r="J1" s="14" t="s">
        <v>76</v>
      </c>
      <c r="K1" s="14" t="s">
        <v>77</v>
      </c>
    </row>
    <row r="2" ht="60.0" customHeight="1">
      <c r="A2" s="15" t="s">
        <v>78</v>
      </c>
      <c r="B2" s="16" t="s">
        <v>8</v>
      </c>
      <c r="C2" s="15" t="s">
        <v>36</v>
      </c>
      <c r="D2" s="15" t="s">
        <v>79</v>
      </c>
      <c r="E2" s="15" t="s">
        <v>80</v>
      </c>
      <c r="F2" s="15" t="s">
        <v>81</v>
      </c>
      <c r="G2" s="15" t="s">
        <v>82</v>
      </c>
      <c r="H2" s="15" t="s">
        <v>83</v>
      </c>
      <c r="I2" s="15" t="s">
        <v>15</v>
      </c>
      <c r="J2" s="15" t="s">
        <v>58</v>
      </c>
      <c r="K2" s="15" t="s">
        <v>84</v>
      </c>
    </row>
    <row r="3" ht="60.0" customHeight="1">
      <c r="A3" s="15" t="s">
        <v>85</v>
      </c>
      <c r="B3" s="16" t="s">
        <v>8</v>
      </c>
      <c r="C3" s="15" t="s">
        <v>36</v>
      </c>
      <c r="D3" s="15" t="s">
        <v>79</v>
      </c>
      <c r="E3" s="15" t="s">
        <v>86</v>
      </c>
      <c r="F3" s="15" t="s">
        <v>87</v>
      </c>
      <c r="G3" s="15" t="s">
        <v>88</v>
      </c>
      <c r="H3" s="15" t="s">
        <v>89</v>
      </c>
      <c r="I3" s="15" t="s">
        <v>15</v>
      </c>
      <c r="J3" s="15" t="s">
        <v>58</v>
      </c>
      <c r="K3" s="15" t="s">
        <v>90</v>
      </c>
    </row>
    <row r="4" ht="60.0" customHeight="1">
      <c r="A4" s="15" t="s">
        <v>91</v>
      </c>
      <c r="B4" s="16" t="s">
        <v>8</v>
      </c>
      <c r="C4" s="15" t="s">
        <v>36</v>
      </c>
      <c r="D4" s="15" t="s">
        <v>92</v>
      </c>
      <c r="E4" s="15" t="s">
        <v>93</v>
      </c>
      <c r="F4" s="15" t="s">
        <v>94</v>
      </c>
      <c r="G4" s="15" t="s">
        <v>95</v>
      </c>
      <c r="H4" s="15" t="s">
        <v>96</v>
      </c>
      <c r="I4" s="15" t="s">
        <v>15</v>
      </c>
      <c r="J4" s="15" t="s">
        <v>58</v>
      </c>
      <c r="K4" s="15" t="s">
        <v>97</v>
      </c>
    </row>
    <row r="5" ht="60.0" customHeight="1">
      <c r="A5" s="15" t="s">
        <v>98</v>
      </c>
      <c r="B5" s="16" t="s">
        <v>8</v>
      </c>
      <c r="C5" s="15" t="s">
        <v>36</v>
      </c>
      <c r="D5" s="15" t="s">
        <v>92</v>
      </c>
      <c r="E5" s="15" t="s">
        <v>99</v>
      </c>
      <c r="F5" s="15" t="s">
        <v>100</v>
      </c>
      <c r="G5" s="15" t="s">
        <v>101</v>
      </c>
      <c r="H5" s="15" t="s">
        <v>102</v>
      </c>
      <c r="I5" s="15" t="s">
        <v>15</v>
      </c>
      <c r="J5" s="15" t="s">
        <v>58</v>
      </c>
      <c r="K5" s="15" t="s">
        <v>103</v>
      </c>
    </row>
    <row r="6" ht="60.0" customHeight="1">
      <c r="A6" s="15" t="s">
        <v>104</v>
      </c>
      <c r="B6" s="16" t="s">
        <v>8</v>
      </c>
      <c r="C6" s="15" t="s">
        <v>36</v>
      </c>
      <c r="D6" s="15" t="s">
        <v>92</v>
      </c>
      <c r="E6" s="15" t="s">
        <v>105</v>
      </c>
      <c r="F6" s="15" t="s">
        <v>106</v>
      </c>
      <c r="G6" s="15" t="s">
        <v>107</v>
      </c>
      <c r="H6" s="15" t="s">
        <v>108</v>
      </c>
      <c r="I6" s="15" t="s">
        <v>15</v>
      </c>
      <c r="J6" s="15" t="s">
        <v>58</v>
      </c>
      <c r="K6" s="15" t="s">
        <v>109</v>
      </c>
    </row>
    <row r="7" ht="60.0" customHeight="1">
      <c r="A7" s="15" t="s">
        <v>110</v>
      </c>
      <c r="B7" s="16" t="s">
        <v>8</v>
      </c>
      <c r="C7" s="15" t="s">
        <v>36</v>
      </c>
      <c r="D7" s="15" t="s">
        <v>111</v>
      </c>
      <c r="E7" s="15" t="s">
        <v>112</v>
      </c>
      <c r="F7" s="15" t="s">
        <v>113</v>
      </c>
      <c r="G7" s="15" t="s">
        <v>114</v>
      </c>
      <c r="H7" s="15" t="s">
        <v>115</v>
      </c>
      <c r="I7" s="15" t="s">
        <v>15</v>
      </c>
      <c r="J7" s="15" t="s">
        <v>58</v>
      </c>
      <c r="K7" s="15" t="s">
        <v>116</v>
      </c>
    </row>
    <row r="8" ht="60.0" customHeight="1">
      <c r="A8" s="15" t="s">
        <v>117</v>
      </c>
      <c r="B8" s="16" t="s">
        <v>8</v>
      </c>
      <c r="C8" s="15" t="s">
        <v>42</v>
      </c>
      <c r="D8" s="15" t="s">
        <v>118</v>
      </c>
      <c r="E8" s="15" t="s">
        <v>119</v>
      </c>
      <c r="F8" s="15" t="s">
        <v>120</v>
      </c>
      <c r="G8" s="15" t="s">
        <v>121</v>
      </c>
      <c r="H8" s="15" t="s">
        <v>122</v>
      </c>
      <c r="I8" s="15" t="s">
        <v>17</v>
      </c>
      <c r="J8" s="15" t="s">
        <v>58</v>
      </c>
      <c r="K8" s="15" t="s">
        <v>123</v>
      </c>
    </row>
    <row r="9" ht="60.0" customHeight="1">
      <c r="A9" s="15" t="s">
        <v>124</v>
      </c>
      <c r="B9" s="16" t="s">
        <v>8</v>
      </c>
      <c r="C9" s="15" t="s">
        <v>42</v>
      </c>
      <c r="D9" s="15" t="s">
        <v>118</v>
      </c>
      <c r="E9" s="15" t="s">
        <v>125</v>
      </c>
      <c r="F9" s="15" t="s">
        <v>126</v>
      </c>
      <c r="G9" s="15" t="s">
        <v>127</v>
      </c>
      <c r="H9" s="15" t="s">
        <v>128</v>
      </c>
      <c r="I9" s="15" t="s">
        <v>17</v>
      </c>
      <c r="J9" s="15" t="s">
        <v>58</v>
      </c>
      <c r="K9" s="15" t="s">
        <v>129</v>
      </c>
    </row>
    <row r="10" ht="60.0" customHeight="1">
      <c r="A10" s="15" t="s">
        <v>130</v>
      </c>
      <c r="B10" s="16" t="s">
        <v>8</v>
      </c>
      <c r="C10" s="15" t="s">
        <v>42</v>
      </c>
      <c r="D10" s="15" t="s">
        <v>118</v>
      </c>
      <c r="E10" s="15" t="s">
        <v>131</v>
      </c>
      <c r="F10" s="15" t="s">
        <v>132</v>
      </c>
      <c r="G10" s="15" t="s">
        <v>133</v>
      </c>
      <c r="H10" s="15" t="s">
        <v>134</v>
      </c>
      <c r="I10" s="15" t="s">
        <v>17</v>
      </c>
      <c r="J10" s="15" t="s">
        <v>58</v>
      </c>
      <c r="K10" s="15" t="s">
        <v>135</v>
      </c>
    </row>
    <row r="11" ht="60.0" customHeight="1">
      <c r="A11" s="15" t="s">
        <v>136</v>
      </c>
      <c r="B11" s="16" t="s">
        <v>8</v>
      </c>
      <c r="C11" s="15" t="s">
        <v>42</v>
      </c>
      <c r="D11" s="15" t="s">
        <v>137</v>
      </c>
      <c r="E11" s="15" t="s">
        <v>138</v>
      </c>
      <c r="F11" s="15" t="s">
        <v>139</v>
      </c>
      <c r="G11" s="15" t="s">
        <v>140</v>
      </c>
      <c r="H11" s="15" t="s">
        <v>141</v>
      </c>
      <c r="I11" s="15" t="s">
        <v>17</v>
      </c>
      <c r="J11" s="15" t="s">
        <v>58</v>
      </c>
      <c r="K11" s="15" t="s">
        <v>142</v>
      </c>
    </row>
    <row r="12" ht="60.0" customHeight="1">
      <c r="A12" s="15" t="s">
        <v>143</v>
      </c>
      <c r="B12" s="16" t="s">
        <v>8</v>
      </c>
      <c r="C12" s="15" t="s">
        <v>42</v>
      </c>
      <c r="D12" s="15" t="s">
        <v>144</v>
      </c>
      <c r="E12" s="15" t="s">
        <v>145</v>
      </c>
      <c r="F12" s="15" t="s">
        <v>146</v>
      </c>
      <c r="G12" s="15" t="s">
        <v>147</v>
      </c>
      <c r="H12" s="15" t="s">
        <v>148</v>
      </c>
      <c r="I12" s="15" t="s">
        <v>17</v>
      </c>
      <c r="J12" s="15" t="s">
        <v>58</v>
      </c>
      <c r="K12" s="15" t="s">
        <v>149</v>
      </c>
    </row>
    <row r="13" ht="60.0" customHeight="1">
      <c r="A13" s="15" t="s">
        <v>150</v>
      </c>
      <c r="B13" s="16" t="s">
        <v>8</v>
      </c>
      <c r="C13" s="15" t="s">
        <v>42</v>
      </c>
      <c r="D13" s="15" t="s">
        <v>151</v>
      </c>
      <c r="E13" s="15" t="s">
        <v>152</v>
      </c>
      <c r="F13" s="15" t="s">
        <v>153</v>
      </c>
      <c r="G13" s="15" t="s">
        <v>154</v>
      </c>
      <c r="H13" s="15" t="s">
        <v>155</v>
      </c>
      <c r="I13" s="15" t="s">
        <v>17</v>
      </c>
      <c r="J13" s="15" t="s">
        <v>58</v>
      </c>
      <c r="K13" s="15" t="s">
        <v>156</v>
      </c>
    </row>
    <row r="14" ht="60.0" customHeight="1">
      <c r="A14" s="15" t="s">
        <v>157</v>
      </c>
      <c r="B14" s="16" t="s">
        <v>8</v>
      </c>
      <c r="C14" s="15" t="s">
        <v>42</v>
      </c>
      <c r="D14" s="15" t="s">
        <v>158</v>
      </c>
      <c r="E14" s="15" t="s">
        <v>159</v>
      </c>
      <c r="F14" s="15" t="s">
        <v>160</v>
      </c>
      <c r="G14" s="15" t="s">
        <v>161</v>
      </c>
      <c r="H14" s="15" t="s">
        <v>162</v>
      </c>
      <c r="I14" s="15" t="s">
        <v>17</v>
      </c>
      <c r="J14" s="15" t="s">
        <v>58</v>
      </c>
      <c r="K14" s="15" t="s">
        <v>163</v>
      </c>
    </row>
    <row r="15" ht="60.0" customHeight="1">
      <c r="A15" s="15" t="s">
        <v>164</v>
      </c>
      <c r="B15" s="16" t="s">
        <v>8</v>
      </c>
      <c r="C15" s="15" t="s">
        <v>61</v>
      </c>
      <c r="D15" s="15" t="s">
        <v>165</v>
      </c>
      <c r="E15" s="15" t="s">
        <v>166</v>
      </c>
      <c r="F15" s="15" t="s">
        <v>167</v>
      </c>
      <c r="G15" s="15" t="s">
        <v>168</v>
      </c>
      <c r="H15" s="15" t="s">
        <v>169</v>
      </c>
      <c r="I15" s="15" t="s">
        <v>15</v>
      </c>
      <c r="J15" s="15" t="s">
        <v>58</v>
      </c>
      <c r="K15" s="15" t="s">
        <v>170</v>
      </c>
    </row>
    <row r="16" ht="60.0" customHeight="1">
      <c r="A16" s="15" t="s">
        <v>171</v>
      </c>
      <c r="B16" s="16" t="s">
        <v>8</v>
      </c>
      <c r="C16" s="15" t="s">
        <v>61</v>
      </c>
      <c r="D16" s="15" t="s">
        <v>165</v>
      </c>
      <c r="E16" s="15" t="s">
        <v>172</v>
      </c>
      <c r="F16" s="15" t="s">
        <v>173</v>
      </c>
      <c r="G16" s="15" t="s">
        <v>174</v>
      </c>
      <c r="H16" s="15" t="s">
        <v>175</v>
      </c>
      <c r="I16" s="15" t="s">
        <v>15</v>
      </c>
      <c r="J16" s="15" t="s">
        <v>58</v>
      </c>
      <c r="K16" s="15" t="s">
        <v>176</v>
      </c>
    </row>
    <row r="17" ht="60.0" customHeight="1">
      <c r="A17" s="15" t="s">
        <v>177</v>
      </c>
      <c r="B17" s="16" t="s">
        <v>8</v>
      </c>
      <c r="C17" s="15" t="s">
        <v>61</v>
      </c>
      <c r="D17" s="15" t="s">
        <v>165</v>
      </c>
      <c r="E17" s="15" t="s">
        <v>178</v>
      </c>
      <c r="F17" s="15" t="s">
        <v>179</v>
      </c>
      <c r="G17" s="15" t="s">
        <v>180</v>
      </c>
      <c r="H17" s="15" t="s">
        <v>181</v>
      </c>
      <c r="I17" s="15" t="s">
        <v>15</v>
      </c>
      <c r="J17" s="15" t="s">
        <v>58</v>
      </c>
      <c r="K17" s="15" t="s">
        <v>182</v>
      </c>
    </row>
    <row r="18" ht="60.0" customHeight="1">
      <c r="A18" s="15" t="s">
        <v>183</v>
      </c>
      <c r="B18" s="16" t="s">
        <v>8</v>
      </c>
      <c r="C18" s="15" t="s">
        <v>61</v>
      </c>
      <c r="D18" s="15" t="s">
        <v>158</v>
      </c>
      <c r="E18" s="15" t="s">
        <v>184</v>
      </c>
      <c r="F18" s="15" t="s">
        <v>185</v>
      </c>
      <c r="G18" s="15" t="s">
        <v>186</v>
      </c>
      <c r="H18" s="15" t="s">
        <v>187</v>
      </c>
      <c r="I18" s="15" t="s">
        <v>15</v>
      </c>
      <c r="J18" s="15" t="s">
        <v>58</v>
      </c>
      <c r="K18" s="15" t="s">
        <v>188</v>
      </c>
    </row>
    <row r="19" ht="60.0" customHeight="1">
      <c r="A19" s="15" t="s">
        <v>189</v>
      </c>
      <c r="B19" s="16" t="s">
        <v>8</v>
      </c>
      <c r="C19" s="15" t="s">
        <v>61</v>
      </c>
      <c r="D19" s="15" t="s">
        <v>190</v>
      </c>
      <c r="E19" s="15" t="s">
        <v>191</v>
      </c>
      <c r="F19" s="15" t="s">
        <v>192</v>
      </c>
      <c r="G19" s="15" t="s">
        <v>193</v>
      </c>
      <c r="H19" s="15" t="s">
        <v>194</v>
      </c>
      <c r="I19" s="15" t="s">
        <v>15</v>
      </c>
      <c r="J19" s="15" t="s">
        <v>58</v>
      </c>
      <c r="K19" s="15" t="s">
        <v>195</v>
      </c>
    </row>
    <row r="20" ht="60.0" customHeight="1">
      <c r="A20" s="15" t="s">
        <v>196</v>
      </c>
      <c r="B20" s="16" t="s">
        <v>8</v>
      </c>
      <c r="C20" s="15" t="s">
        <v>61</v>
      </c>
      <c r="D20" s="15" t="s">
        <v>197</v>
      </c>
      <c r="E20" s="15" t="s">
        <v>198</v>
      </c>
      <c r="F20" s="15" t="s">
        <v>199</v>
      </c>
      <c r="G20" s="15" t="s">
        <v>200</v>
      </c>
      <c r="H20" s="15" t="s">
        <v>201</v>
      </c>
      <c r="I20" s="15" t="s">
        <v>15</v>
      </c>
      <c r="J20" s="15" t="s">
        <v>58</v>
      </c>
      <c r="K20" s="15" t="s">
        <v>202</v>
      </c>
    </row>
    <row r="21" ht="60.0" customHeight="1">
      <c r="A21" s="15" t="s">
        <v>203</v>
      </c>
      <c r="B21" s="16" t="s">
        <v>8</v>
      </c>
      <c r="C21" s="15" t="s">
        <v>38</v>
      </c>
      <c r="D21" s="15" t="s">
        <v>204</v>
      </c>
      <c r="E21" s="15" t="s">
        <v>205</v>
      </c>
      <c r="F21" s="15" t="s">
        <v>206</v>
      </c>
      <c r="G21" s="15" t="s">
        <v>207</v>
      </c>
      <c r="H21" s="15" t="s">
        <v>208</v>
      </c>
      <c r="I21" s="15" t="s">
        <v>17</v>
      </c>
      <c r="J21" s="15" t="s">
        <v>58</v>
      </c>
      <c r="K21" s="15" t="s">
        <v>209</v>
      </c>
    </row>
    <row r="22" ht="60.0" customHeight="1">
      <c r="A22" s="15" t="s">
        <v>210</v>
      </c>
      <c r="B22" s="16" t="s">
        <v>8</v>
      </c>
      <c r="C22" s="15" t="s">
        <v>38</v>
      </c>
      <c r="D22" s="15" t="s">
        <v>211</v>
      </c>
      <c r="E22" s="15" t="s">
        <v>212</v>
      </c>
      <c r="F22" s="15" t="s">
        <v>213</v>
      </c>
      <c r="G22" s="15" t="s">
        <v>214</v>
      </c>
      <c r="H22" s="15" t="s">
        <v>215</v>
      </c>
      <c r="I22" s="15" t="s">
        <v>17</v>
      </c>
      <c r="J22" s="15" t="s">
        <v>58</v>
      </c>
      <c r="K22" s="15" t="s">
        <v>216</v>
      </c>
    </row>
    <row r="23" ht="60.0" customHeight="1">
      <c r="A23" s="15" t="s">
        <v>217</v>
      </c>
      <c r="B23" s="16" t="s">
        <v>8</v>
      </c>
      <c r="C23" s="15" t="s">
        <v>38</v>
      </c>
      <c r="D23" s="15" t="s">
        <v>218</v>
      </c>
      <c r="E23" s="15" t="s">
        <v>219</v>
      </c>
      <c r="F23" s="15" t="s">
        <v>220</v>
      </c>
      <c r="G23" s="15" t="s">
        <v>221</v>
      </c>
      <c r="H23" s="15" t="s">
        <v>222</v>
      </c>
      <c r="I23" s="15" t="s">
        <v>17</v>
      </c>
      <c r="J23" s="15" t="s">
        <v>58</v>
      </c>
      <c r="K23" s="15" t="s">
        <v>223</v>
      </c>
    </row>
    <row r="24" ht="60.0" customHeight="1">
      <c r="A24" s="15" t="s">
        <v>224</v>
      </c>
      <c r="B24" s="16" t="s">
        <v>8</v>
      </c>
      <c r="C24" s="15" t="s">
        <v>38</v>
      </c>
      <c r="D24" s="15" t="s">
        <v>225</v>
      </c>
      <c r="E24" s="15" t="s">
        <v>226</v>
      </c>
      <c r="F24" s="15" t="s">
        <v>227</v>
      </c>
      <c r="G24" s="15" t="s">
        <v>228</v>
      </c>
      <c r="H24" s="15" t="s">
        <v>229</v>
      </c>
      <c r="I24" s="15" t="s">
        <v>17</v>
      </c>
      <c r="J24" s="15" t="s">
        <v>58</v>
      </c>
      <c r="K24" s="15" t="s">
        <v>230</v>
      </c>
    </row>
    <row r="25" ht="60.0" customHeight="1">
      <c r="A25" s="15" t="s">
        <v>231</v>
      </c>
      <c r="B25" s="16" t="s">
        <v>8</v>
      </c>
      <c r="C25" s="15" t="s">
        <v>38</v>
      </c>
      <c r="D25" s="15" t="s">
        <v>232</v>
      </c>
      <c r="E25" s="15" t="s">
        <v>233</v>
      </c>
      <c r="F25" s="15" t="s">
        <v>234</v>
      </c>
      <c r="G25" s="15" t="s">
        <v>235</v>
      </c>
      <c r="H25" s="15" t="s">
        <v>236</v>
      </c>
      <c r="I25" s="15" t="s">
        <v>17</v>
      </c>
      <c r="J25" s="15" t="s">
        <v>58</v>
      </c>
      <c r="K25" s="15" t="s">
        <v>135</v>
      </c>
    </row>
    <row r="26" ht="60.0" customHeight="1">
      <c r="A26" s="15" t="s">
        <v>237</v>
      </c>
      <c r="B26" s="16" t="s">
        <v>8</v>
      </c>
      <c r="C26" s="15" t="s">
        <v>38</v>
      </c>
      <c r="D26" s="15" t="s">
        <v>238</v>
      </c>
      <c r="E26" s="15" t="s">
        <v>239</v>
      </c>
      <c r="F26" s="15" t="s">
        <v>240</v>
      </c>
      <c r="G26" s="15" t="s">
        <v>241</v>
      </c>
      <c r="H26" s="15" t="s">
        <v>242</v>
      </c>
      <c r="I26" s="15" t="s">
        <v>17</v>
      </c>
      <c r="J26" s="15" t="s">
        <v>58</v>
      </c>
      <c r="K26" s="15" t="s">
        <v>243</v>
      </c>
    </row>
    <row r="27" ht="60.0" customHeight="1">
      <c r="A27" s="15" t="s">
        <v>244</v>
      </c>
      <c r="B27" s="16" t="s">
        <v>8</v>
      </c>
      <c r="C27" s="15" t="s">
        <v>38</v>
      </c>
      <c r="D27" s="15" t="s">
        <v>245</v>
      </c>
      <c r="E27" s="15" t="s">
        <v>246</v>
      </c>
      <c r="F27" s="15" t="s">
        <v>247</v>
      </c>
      <c r="G27" s="15" t="s">
        <v>248</v>
      </c>
      <c r="H27" s="15" t="s">
        <v>249</v>
      </c>
      <c r="I27" s="15" t="s">
        <v>17</v>
      </c>
      <c r="J27" s="15" t="s">
        <v>58</v>
      </c>
      <c r="K27" s="15" t="s">
        <v>250</v>
      </c>
    </row>
    <row r="28" ht="60.0" customHeight="1">
      <c r="A28" s="15" t="s">
        <v>251</v>
      </c>
      <c r="B28" s="16" t="s">
        <v>8</v>
      </c>
      <c r="C28" s="15" t="s">
        <v>40</v>
      </c>
      <c r="D28" s="15" t="s">
        <v>252</v>
      </c>
      <c r="E28" s="15" t="s">
        <v>253</v>
      </c>
      <c r="F28" s="15" t="s">
        <v>254</v>
      </c>
      <c r="G28" s="15" t="s">
        <v>255</v>
      </c>
      <c r="H28" s="15" t="s">
        <v>256</v>
      </c>
      <c r="I28" s="15" t="s">
        <v>17</v>
      </c>
      <c r="J28" s="15" t="s">
        <v>58</v>
      </c>
      <c r="K28" s="15" t="s">
        <v>257</v>
      </c>
    </row>
    <row r="29" ht="60.0" customHeight="1">
      <c r="A29" s="15" t="s">
        <v>258</v>
      </c>
      <c r="B29" s="16" t="s">
        <v>8</v>
      </c>
      <c r="C29" s="15" t="s">
        <v>40</v>
      </c>
      <c r="D29" s="15" t="s">
        <v>259</v>
      </c>
      <c r="E29" s="15" t="s">
        <v>260</v>
      </c>
      <c r="F29" s="15" t="s">
        <v>261</v>
      </c>
      <c r="G29" s="15" t="s">
        <v>262</v>
      </c>
      <c r="H29" s="15" t="s">
        <v>263</v>
      </c>
      <c r="I29" s="15" t="s">
        <v>17</v>
      </c>
      <c r="J29" s="15" t="s">
        <v>58</v>
      </c>
      <c r="K29" s="15" t="s">
        <v>264</v>
      </c>
    </row>
    <row r="30" ht="60.0" customHeight="1">
      <c r="A30" s="15" t="s">
        <v>265</v>
      </c>
      <c r="B30" s="16" t="s">
        <v>8</v>
      </c>
      <c r="C30" s="15" t="s">
        <v>40</v>
      </c>
      <c r="D30" s="15" t="s">
        <v>266</v>
      </c>
      <c r="E30" s="15" t="s">
        <v>267</v>
      </c>
      <c r="F30" s="15" t="s">
        <v>268</v>
      </c>
      <c r="G30" s="15" t="s">
        <v>269</v>
      </c>
      <c r="H30" s="15" t="s">
        <v>270</v>
      </c>
      <c r="I30" s="15" t="s">
        <v>17</v>
      </c>
      <c r="J30" s="15" t="s">
        <v>58</v>
      </c>
      <c r="K30" s="15" t="s">
        <v>271</v>
      </c>
    </row>
    <row r="31" ht="60.0" customHeight="1">
      <c r="A31" s="15" t="s">
        <v>272</v>
      </c>
      <c r="B31" s="16" t="s">
        <v>8</v>
      </c>
      <c r="C31" s="15" t="s">
        <v>40</v>
      </c>
      <c r="D31" s="15" t="s">
        <v>273</v>
      </c>
      <c r="E31" s="15" t="s">
        <v>274</v>
      </c>
      <c r="F31" s="15" t="s">
        <v>275</v>
      </c>
      <c r="G31" s="15" t="s">
        <v>276</v>
      </c>
      <c r="H31" s="15" t="s">
        <v>277</v>
      </c>
      <c r="I31" s="15" t="s">
        <v>17</v>
      </c>
      <c r="J31" s="15" t="s">
        <v>58</v>
      </c>
      <c r="K31" s="15" t="s">
        <v>278</v>
      </c>
    </row>
    <row r="32" ht="60.0" customHeight="1">
      <c r="A32" s="15" t="s">
        <v>279</v>
      </c>
      <c r="B32" s="16" t="s">
        <v>8</v>
      </c>
      <c r="C32" s="15" t="s">
        <v>40</v>
      </c>
      <c r="D32" s="15" t="s">
        <v>280</v>
      </c>
      <c r="E32" s="15" t="s">
        <v>281</v>
      </c>
      <c r="F32" s="15" t="s">
        <v>282</v>
      </c>
      <c r="G32" s="15" t="s">
        <v>283</v>
      </c>
      <c r="H32" s="15" t="s">
        <v>284</v>
      </c>
      <c r="I32" s="15" t="s">
        <v>17</v>
      </c>
      <c r="J32" s="15" t="s">
        <v>58</v>
      </c>
      <c r="K32" s="15" t="s">
        <v>285</v>
      </c>
    </row>
    <row r="33" ht="60.0" customHeight="1">
      <c r="A33" s="15" t="s">
        <v>286</v>
      </c>
      <c r="B33" s="16" t="s">
        <v>8</v>
      </c>
      <c r="C33" s="15" t="s">
        <v>40</v>
      </c>
      <c r="D33" s="15" t="s">
        <v>137</v>
      </c>
      <c r="E33" s="15" t="s">
        <v>287</v>
      </c>
      <c r="F33" s="15" t="s">
        <v>288</v>
      </c>
      <c r="G33" s="15" t="s">
        <v>289</v>
      </c>
      <c r="H33" s="15" t="s">
        <v>290</v>
      </c>
      <c r="I33" s="15" t="s">
        <v>17</v>
      </c>
      <c r="J33" s="15" t="s">
        <v>58</v>
      </c>
      <c r="K33" s="15" t="s">
        <v>291</v>
      </c>
    </row>
    <row r="34" ht="60.0" customHeight="1">
      <c r="A34" s="15" t="s">
        <v>292</v>
      </c>
      <c r="B34" s="16" t="s">
        <v>8</v>
      </c>
      <c r="C34" s="15" t="s">
        <v>40</v>
      </c>
      <c r="D34" s="15" t="s">
        <v>293</v>
      </c>
      <c r="E34" s="15" t="s">
        <v>294</v>
      </c>
      <c r="F34" s="15" t="s">
        <v>295</v>
      </c>
      <c r="G34" s="15" t="s">
        <v>296</v>
      </c>
      <c r="H34" s="15" t="s">
        <v>297</v>
      </c>
      <c r="I34" s="15" t="s">
        <v>17</v>
      </c>
      <c r="J34" s="15" t="s">
        <v>58</v>
      </c>
      <c r="K34" s="15" t="s">
        <v>298</v>
      </c>
    </row>
    <row r="35" ht="60.0" customHeight="1">
      <c r="A35" s="15" t="s">
        <v>299</v>
      </c>
      <c r="B35" s="16" t="s">
        <v>8</v>
      </c>
      <c r="C35" s="15" t="s">
        <v>40</v>
      </c>
      <c r="D35" s="15" t="s">
        <v>300</v>
      </c>
      <c r="E35" s="15" t="s">
        <v>301</v>
      </c>
      <c r="F35" s="15" t="s">
        <v>302</v>
      </c>
      <c r="G35" s="15" t="s">
        <v>303</v>
      </c>
      <c r="H35" s="15" t="s">
        <v>304</v>
      </c>
      <c r="I35" s="15" t="s">
        <v>17</v>
      </c>
      <c r="J35" s="15" t="s">
        <v>58</v>
      </c>
      <c r="K35" s="15" t="s">
        <v>305</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25.0"/>
    <col customWidth="1" min="4" max="4" width="20.0"/>
    <col customWidth="1" min="5" max="5" width="40.0"/>
    <col customWidth="1" min="6" max="6" width="35.0"/>
    <col customWidth="1" min="7" max="7" width="50.0"/>
    <col customWidth="1" min="8" max="8" width="40.0"/>
    <col customWidth="1" min="9" max="10" width="15.0"/>
    <col customWidth="1" min="11" max="11" width="30.0"/>
    <col customWidth="1" min="12" max="26" width="8.71"/>
  </cols>
  <sheetData>
    <row r="1">
      <c r="A1" s="14" t="s">
        <v>70</v>
      </c>
      <c r="B1" s="14" t="s">
        <v>71</v>
      </c>
      <c r="C1" s="14" t="s">
        <v>60</v>
      </c>
      <c r="D1" s="14" t="s">
        <v>34</v>
      </c>
      <c r="E1" s="14" t="s">
        <v>72</v>
      </c>
      <c r="F1" s="14" t="s">
        <v>73</v>
      </c>
      <c r="G1" s="14" t="s">
        <v>74</v>
      </c>
      <c r="H1" s="14" t="s">
        <v>75</v>
      </c>
      <c r="I1" s="14" t="s">
        <v>68</v>
      </c>
      <c r="J1" s="14" t="s">
        <v>76</v>
      </c>
      <c r="K1" s="14" t="s">
        <v>77</v>
      </c>
    </row>
    <row r="2" ht="60.0" customHeight="1">
      <c r="A2" s="15" t="s">
        <v>306</v>
      </c>
      <c r="B2" s="17" t="s">
        <v>10</v>
      </c>
      <c r="C2" s="15" t="s">
        <v>62</v>
      </c>
      <c r="D2" s="15" t="s">
        <v>307</v>
      </c>
      <c r="E2" s="15" t="s">
        <v>308</v>
      </c>
      <c r="F2" s="15" t="s">
        <v>309</v>
      </c>
      <c r="G2" s="15" t="s">
        <v>310</v>
      </c>
      <c r="H2" s="15" t="s">
        <v>311</v>
      </c>
      <c r="I2" s="15" t="s">
        <v>19</v>
      </c>
      <c r="J2" s="15" t="s">
        <v>58</v>
      </c>
      <c r="K2" s="15" t="s">
        <v>312</v>
      </c>
    </row>
    <row r="3" ht="60.0" customHeight="1">
      <c r="A3" s="15" t="s">
        <v>313</v>
      </c>
      <c r="B3" s="17" t="s">
        <v>10</v>
      </c>
      <c r="C3" s="15" t="s">
        <v>62</v>
      </c>
      <c r="D3" s="15" t="s">
        <v>197</v>
      </c>
      <c r="E3" s="15" t="s">
        <v>314</v>
      </c>
      <c r="F3" s="15" t="s">
        <v>315</v>
      </c>
      <c r="G3" s="15" t="s">
        <v>316</v>
      </c>
      <c r="H3" s="15" t="s">
        <v>317</v>
      </c>
      <c r="I3" s="15" t="s">
        <v>19</v>
      </c>
      <c r="J3" s="15" t="s">
        <v>58</v>
      </c>
      <c r="K3" s="15" t="s">
        <v>318</v>
      </c>
    </row>
    <row r="4" ht="60.0" customHeight="1">
      <c r="A4" s="15" t="s">
        <v>319</v>
      </c>
      <c r="B4" s="17" t="s">
        <v>10</v>
      </c>
      <c r="C4" s="15" t="s">
        <v>62</v>
      </c>
      <c r="D4" s="15" t="s">
        <v>320</v>
      </c>
      <c r="E4" s="15" t="s">
        <v>321</v>
      </c>
      <c r="F4" s="15" t="s">
        <v>322</v>
      </c>
      <c r="G4" s="15" t="s">
        <v>323</v>
      </c>
      <c r="H4" s="15" t="s">
        <v>324</v>
      </c>
      <c r="I4" s="15" t="s">
        <v>19</v>
      </c>
      <c r="J4" s="15" t="s">
        <v>58</v>
      </c>
      <c r="K4" s="15" t="s">
        <v>325</v>
      </c>
    </row>
    <row r="5" ht="60.0" customHeight="1">
      <c r="A5" s="15" t="s">
        <v>326</v>
      </c>
      <c r="B5" s="17" t="s">
        <v>10</v>
      </c>
      <c r="C5" s="15" t="s">
        <v>62</v>
      </c>
      <c r="D5" s="15" t="s">
        <v>327</v>
      </c>
      <c r="E5" s="15" t="s">
        <v>328</v>
      </c>
      <c r="F5" s="15" t="s">
        <v>329</v>
      </c>
      <c r="G5" s="15" t="s">
        <v>330</v>
      </c>
      <c r="H5" s="15" t="s">
        <v>331</v>
      </c>
      <c r="I5" s="15" t="s">
        <v>19</v>
      </c>
      <c r="J5" s="15" t="s">
        <v>58</v>
      </c>
      <c r="K5" s="15" t="s">
        <v>332</v>
      </c>
    </row>
    <row r="6" ht="60.0" customHeight="1">
      <c r="A6" s="15" t="s">
        <v>333</v>
      </c>
      <c r="B6" s="17" t="s">
        <v>10</v>
      </c>
      <c r="C6" s="15" t="s">
        <v>62</v>
      </c>
      <c r="D6" s="15" t="s">
        <v>334</v>
      </c>
      <c r="E6" s="15" t="s">
        <v>335</v>
      </c>
      <c r="F6" s="15" t="s">
        <v>336</v>
      </c>
      <c r="G6" s="15" t="s">
        <v>337</v>
      </c>
      <c r="H6" s="15" t="s">
        <v>338</v>
      </c>
      <c r="I6" s="15" t="s">
        <v>19</v>
      </c>
      <c r="J6" s="15" t="s">
        <v>58</v>
      </c>
      <c r="K6" s="15" t="s">
        <v>339</v>
      </c>
    </row>
    <row r="7" ht="60.0" customHeight="1">
      <c r="A7" s="15" t="s">
        <v>340</v>
      </c>
      <c r="B7" s="17" t="s">
        <v>10</v>
      </c>
      <c r="C7" s="15" t="s">
        <v>62</v>
      </c>
      <c r="D7" s="15" t="s">
        <v>341</v>
      </c>
      <c r="E7" s="15" t="s">
        <v>342</v>
      </c>
      <c r="F7" s="15" t="s">
        <v>199</v>
      </c>
      <c r="G7" s="15" t="s">
        <v>343</v>
      </c>
      <c r="H7" s="15" t="s">
        <v>344</v>
      </c>
      <c r="I7" s="15" t="s">
        <v>19</v>
      </c>
      <c r="J7" s="15" t="s">
        <v>58</v>
      </c>
      <c r="K7" s="15"/>
    </row>
    <row r="8" ht="60.0" customHeight="1">
      <c r="A8" s="15" t="s">
        <v>345</v>
      </c>
      <c r="B8" s="17" t="s">
        <v>10</v>
      </c>
      <c r="C8" s="15" t="s">
        <v>64</v>
      </c>
      <c r="D8" s="15" t="s">
        <v>346</v>
      </c>
      <c r="E8" s="15" t="s">
        <v>347</v>
      </c>
      <c r="F8" s="15" t="s">
        <v>348</v>
      </c>
      <c r="G8" s="15" t="s">
        <v>349</v>
      </c>
      <c r="H8" s="15" t="s">
        <v>350</v>
      </c>
      <c r="I8" s="15" t="s">
        <v>17</v>
      </c>
      <c r="J8" s="15" t="s">
        <v>58</v>
      </c>
      <c r="K8" s="15"/>
    </row>
    <row r="9" ht="60.0" customHeight="1">
      <c r="A9" s="15" t="s">
        <v>351</v>
      </c>
      <c r="B9" s="17" t="s">
        <v>10</v>
      </c>
      <c r="C9" s="15" t="s">
        <v>64</v>
      </c>
      <c r="D9" s="15" t="s">
        <v>352</v>
      </c>
      <c r="E9" s="15" t="s">
        <v>353</v>
      </c>
      <c r="F9" s="15" t="s">
        <v>354</v>
      </c>
      <c r="G9" s="15" t="s">
        <v>355</v>
      </c>
      <c r="H9" s="15" t="s">
        <v>356</v>
      </c>
      <c r="I9" s="15" t="s">
        <v>17</v>
      </c>
      <c r="J9" s="15" t="s">
        <v>58</v>
      </c>
      <c r="K9" s="15"/>
    </row>
    <row r="10" ht="60.0" customHeight="1">
      <c r="A10" s="15" t="s">
        <v>357</v>
      </c>
      <c r="B10" s="17" t="s">
        <v>10</v>
      </c>
      <c r="C10" s="15" t="s">
        <v>64</v>
      </c>
      <c r="D10" s="15" t="s">
        <v>358</v>
      </c>
      <c r="E10" s="15" t="s">
        <v>359</v>
      </c>
      <c r="F10" s="15" t="s">
        <v>360</v>
      </c>
      <c r="G10" s="15" t="s">
        <v>361</v>
      </c>
      <c r="H10" s="15" t="s">
        <v>362</v>
      </c>
      <c r="I10" s="15" t="s">
        <v>17</v>
      </c>
      <c r="J10" s="15" t="s">
        <v>58</v>
      </c>
      <c r="K10" s="15"/>
    </row>
    <row r="11" ht="60.0" customHeight="1">
      <c r="A11" s="15" t="s">
        <v>363</v>
      </c>
      <c r="B11" s="17" t="s">
        <v>10</v>
      </c>
      <c r="C11" s="15" t="s">
        <v>92</v>
      </c>
      <c r="D11" s="15" t="s">
        <v>364</v>
      </c>
      <c r="E11" s="15" t="s">
        <v>365</v>
      </c>
      <c r="F11" s="15" t="s">
        <v>366</v>
      </c>
      <c r="G11" s="15" t="s">
        <v>367</v>
      </c>
      <c r="H11" s="15" t="s">
        <v>368</v>
      </c>
      <c r="I11" s="15" t="s">
        <v>17</v>
      </c>
      <c r="J11" s="15" t="s">
        <v>58</v>
      </c>
      <c r="K11" s="15"/>
    </row>
    <row r="12" ht="60.0" customHeight="1">
      <c r="A12" s="15" t="s">
        <v>369</v>
      </c>
      <c r="B12" s="17" t="s">
        <v>10</v>
      </c>
      <c r="C12" s="15" t="s">
        <v>92</v>
      </c>
      <c r="D12" s="15" t="s">
        <v>370</v>
      </c>
      <c r="E12" s="15" t="s">
        <v>371</v>
      </c>
      <c r="F12" s="15" t="s">
        <v>372</v>
      </c>
      <c r="G12" s="15" t="s">
        <v>373</v>
      </c>
      <c r="H12" s="15" t="s">
        <v>374</v>
      </c>
      <c r="I12" s="15" t="s">
        <v>17</v>
      </c>
      <c r="J12" s="15" t="s">
        <v>58</v>
      </c>
      <c r="K12" s="15"/>
    </row>
    <row r="13" ht="60.0" customHeight="1">
      <c r="A13" s="15" t="s">
        <v>375</v>
      </c>
      <c r="B13" s="17" t="s">
        <v>10</v>
      </c>
      <c r="C13" s="15" t="s">
        <v>63</v>
      </c>
      <c r="D13" s="15" t="s">
        <v>376</v>
      </c>
      <c r="E13" s="15" t="s">
        <v>377</v>
      </c>
      <c r="F13" s="15" t="s">
        <v>378</v>
      </c>
      <c r="G13" s="15" t="s">
        <v>379</v>
      </c>
      <c r="H13" s="15" t="s">
        <v>380</v>
      </c>
      <c r="I13" s="15" t="s">
        <v>15</v>
      </c>
      <c r="J13" s="15" t="s">
        <v>58</v>
      </c>
      <c r="K13" s="15"/>
    </row>
    <row r="14" ht="60.0" customHeight="1">
      <c r="A14" s="15" t="s">
        <v>381</v>
      </c>
      <c r="B14" s="17" t="s">
        <v>10</v>
      </c>
      <c r="C14" s="15" t="s">
        <v>63</v>
      </c>
      <c r="D14" s="15" t="s">
        <v>382</v>
      </c>
      <c r="E14" s="15" t="s">
        <v>383</v>
      </c>
      <c r="F14" s="15" t="s">
        <v>384</v>
      </c>
      <c r="G14" s="15" t="s">
        <v>385</v>
      </c>
      <c r="H14" s="15" t="s">
        <v>386</v>
      </c>
      <c r="I14" s="15" t="s">
        <v>17</v>
      </c>
      <c r="J14" s="15" t="s">
        <v>58</v>
      </c>
      <c r="K14" s="15"/>
    </row>
    <row r="15" ht="60.0" customHeight="1">
      <c r="A15" s="15" t="s">
        <v>387</v>
      </c>
      <c r="B15" s="17" t="s">
        <v>10</v>
      </c>
      <c r="C15" s="15" t="s">
        <v>388</v>
      </c>
      <c r="D15" s="15" t="s">
        <v>389</v>
      </c>
      <c r="E15" s="15" t="s">
        <v>390</v>
      </c>
      <c r="F15" s="15" t="s">
        <v>391</v>
      </c>
      <c r="G15" s="15" t="s">
        <v>392</v>
      </c>
      <c r="H15" s="15" t="s">
        <v>393</v>
      </c>
      <c r="I15" s="15" t="s">
        <v>17</v>
      </c>
      <c r="J15" s="15" t="s">
        <v>58</v>
      </c>
      <c r="K15" s="15"/>
    </row>
    <row r="16" ht="60.0" customHeight="1">
      <c r="A16" s="15" t="s">
        <v>394</v>
      </c>
      <c r="B16" s="17" t="s">
        <v>10</v>
      </c>
      <c r="C16" s="15" t="s">
        <v>388</v>
      </c>
      <c r="D16" s="15" t="s">
        <v>395</v>
      </c>
      <c r="E16" s="15" t="s">
        <v>396</v>
      </c>
      <c r="F16" s="15" t="s">
        <v>397</v>
      </c>
      <c r="G16" s="15" t="s">
        <v>398</v>
      </c>
      <c r="H16" s="15" t="s">
        <v>399</v>
      </c>
      <c r="I16" s="15" t="s">
        <v>17</v>
      </c>
      <c r="J16" s="15" t="s">
        <v>58</v>
      </c>
      <c r="K16" s="15"/>
    </row>
    <row r="17" ht="60.0" customHeight="1">
      <c r="A17" s="15" t="s">
        <v>400</v>
      </c>
      <c r="B17" s="17" t="s">
        <v>10</v>
      </c>
      <c r="C17" s="15" t="s">
        <v>388</v>
      </c>
      <c r="D17" s="15" t="s">
        <v>401</v>
      </c>
      <c r="E17" s="15" t="s">
        <v>402</v>
      </c>
      <c r="F17" s="15" t="s">
        <v>403</v>
      </c>
      <c r="G17" s="15" t="s">
        <v>404</v>
      </c>
      <c r="H17" s="15" t="s">
        <v>405</v>
      </c>
      <c r="I17" s="15" t="s">
        <v>17</v>
      </c>
      <c r="J17" s="15" t="s">
        <v>58</v>
      </c>
      <c r="K17" s="15"/>
    </row>
    <row r="18" ht="60.0" customHeight="1">
      <c r="A18" s="15" t="s">
        <v>525</v>
      </c>
      <c r="B18" s="17" t="s">
        <v>10</v>
      </c>
      <c r="C18" s="15" t="s">
        <v>44</v>
      </c>
      <c r="D18" s="15" t="s">
        <v>526</v>
      </c>
      <c r="E18" s="15" t="s">
        <v>527</v>
      </c>
      <c r="F18" s="15" t="s">
        <v>528</v>
      </c>
      <c r="G18" s="15" t="s">
        <v>529</v>
      </c>
      <c r="H18" s="15" t="s">
        <v>530</v>
      </c>
      <c r="I18" s="15" t="s">
        <v>19</v>
      </c>
      <c r="J18" s="15" t="s">
        <v>58</v>
      </c>
      <c r="K18" s="15" t="s">
        <v>531</v>
      </c>
    </row>
    <row r="19" ht="60.0" customHeight="1">
      <c r="A19" s="15" t="s">
        <v>532</v>
      </c>
      <c r="B19" s="17" t="s">
        <v>10</v>
      </c>
      <c r="C19" s="15" t="s">
        <v>44</v>
      </c>
      <c r="D19" s="15" t="s">
        <v>526</v>
      </c>
      <c r="E19" s="15" t="s">
        <v>533</v>
      </c>
      <c r="F19" s="15" t="s">
        <v>534</v>
      </c>
      <c r="G19" s="15" t="s">
        <v>535</v>
      </c>
      <c r="H19" s="15" t="s">
        <v>536</v>
      </c>
      <c r="I19" s="15" t="s">
        <v>19</v>
      </c>
      <c r="J19" s="15" t="s">
        <v>58</v>
      </c>
      <c r="K19" s="15" t="s">
        <v>537</v>
      </c>
    </row>
    <row r="20" ht="60.0" customHeight="1">
      <c r="A20" s="15" t="s">
        <v>538</v>
      </c>
      <c r="B20" s="17" t="s">
        <v>10</v>
      </c>
      <c r="C20" s="15" t="s">
        <v>44</v>
      </c>
      <c r="D20" s="15" t="s">
        <v>539</v>
      </c>
      <c r="E20" s="15" t="s">
        <v>540</v>
      </c>
      <c r="F20" s="15" t="s">
        <v>541</v>
      </c>
      <c r="G20" s="15" t="s">
        <v>542</v>
      </c>
      <c r="H20" s="15" t="s">
        <v>543</v>
      </c>
      <c r="I20" s="15" t="s">
        <v>19</v>
      </c>
      <c r="J20" s="15" t="s">
        <v>58</v>
      </c>
      <c r="K20" s="15" t="s">
        <v>544</v>
      </c>
    </row>
    <row r="21" ht="60.0" customHeight="1">
      <c r="A21" s="15" t="s">
        <v>545</v>
      </c>
      <c r="B21" s="17" t="s">
        <v>10</v>
      </c>
      <c r="C21" s="15" t="s">
        <v>44</v>
      </c>
      <c r="D21" s="15" t="s">
        <v>546</v>
      </c>
      <c r="E21" s="15" t="s">
        <v>547</v>
      </c>
      <c r="F21" s="15" t="s">
        <v>548</v>
      </c>
      <c r="G21" s="15" t="s">
        <v>549</v>
      </c>
      <c r="H21" s="15" t="s">
        <v>550</v>
      </c>
      <c r="I21" s="15" t="s">
        <v>19</v>
      </c>
      <c r="J21" s="15" t="s">
        <v>58</v>
      </c>
      <c r="K21" s="15" t="s">
        <v>551</v>
      </c>
    </row>
    <row r="22" ht="60.0" customHeight="1">
      <c r="A22" s="15" t="s">
        <v>552</v>
      </c>
      <c r="B22" s="17" t="s">
        <v>10</v>
      </c>
      <c r="C22" s="15" t="s">
        <v>44</v>
      </c>
      <c r="D22" s="15" t="s">
        <v>553</v>
      </c>
      <c r="E22" s="15" t="s">
        <v>554</v>
      </c>
      <c r="F22" s="15" t="s">
        <v>555</v>
      </c>
      <c r="G22" s="15" t="s">
        <v>556</v>
      </c>
      <c r="H22" s="15" t="s">
        <v>557</v>
      </c>
      <c r="I22" s="15" t="s">
        <v>19</v>
      </c>
      <c r="J22" s="15" t="s">
        <v>58</v>
      </c>
      <c r="K22" s="15" t="s">
        <v>558</v>
      </c>
    </row>
    <row r="23" ht="60.0" customHeight="1">
      <c r="A23" s="15" t="s">
        <v>559</v>
      </c>
      <c r="B23" s="17" t="s">
        <v>10</v>
      </c>
      <c r="C23" s="15" t="s">
        <v>44</v>
      </c>
      <c r="D23" s="15" t="s">
        <v>63</v>
      </c>
      <c r="E23" s="15" t="s">
        <v>560</v>
      </c>
      <c r="F23" s="15" t="s">
        <v>561</v>
      </c>
      <c r="G23" s="15" t="s">
        <v>562</v>
      </c>
      <c r="H23" s="15" t="s">
        <v>563</v>
      </c>
      <c r="I23" s="15" t="s">
        <v>17</v>
      </c>
      <c r="J23" s="15" t="s">
        <v>58</v>
      </c>
      <c r="K23" s="15" t="s">
        <v>564</v>
      </c>
    </row>
    <row r="24" ht="60.0" customHeight="1">
      <c r="A24" s="15" t="s">
        <v>565</v>
      </c>
      <c r="B24" s="17" t="s">
        <v>10</v>
      </c>
      <c r="C24" s="15" t="s">
        <v>44</v>
      </c>
      <c r="D24" s="15" t="s">
        <v>566</v>
      </c>
      <c r="E24" s="15" t="s">
        <v>567</v>
      </c>
      <c r="F24" s="15" t="s">
        <v>568</v>
      </c>
      <c r="G24" s="15" t="s">
        <v>569</v>
      </c>
      <c r="H24" s="15" t="s">
        <v>570</v>
      </c>
      <c r="I24" s="15" t="s">
        <v>19</v>
      </c>
      <c r="J24" s="15" t="s">
        <v>58</v>
      </c>
      <c r="K24" s="15" t="s">
        <v>571</v>
      </c>
    </row>
    <row r="25" ht="60.0" customHeight="1">
      <c r="A25" s="15" t="s">
        <v>572</v>
      </c>
      <c r="B25" s="17" t="s">
        <v>10</v>
      </c>
      <c r="C25" s="15" t="s">
        <v>44</v>
      </c>
      <c r="D25" s="15" t="s">
        <v>573</v>
      </c>
      <c r="E25" s="15" t="s">
        <v>574</v>
      </c>
      <c r="F25" s="15" t="s">
        <v>575</v>
      </c>
      <c r="G25" s="15" t="s">
        <v>576</v>
      </c>
      <c r="H25" s="15" t="s">
        <v>577</v>
      </c>
      <c r="I25" s="15" t="s">
        <v>17</v>
      </c>
      <c r="J25" s="15" t="s">
        <v>58</v>
      </c>
      <c r="K25" s="15" t="s">
        <v>578</v>
      </c>
    </row>
    <row r="26" ht="60.0" customHeight="1">
      <c r="A26" s="15" t="s">
        <v>579</v>
      </c>
      <c r="B26" s="17" t="s">
        <v>10</v>
      </c>
      <c r="C26" s="15" t="s">
        <v>44</v>
      </c>
      <c r="D26" s="15" t="s">
        <v>413</v>
      </c>
      <c r="E26" s="15" t="s">
        <v>580</v>
      </c>
      <c r="F26" s="15" t="s">
        <v>581</v>
      </c>
      <c r="G26" s="15" t="s">
        <v>582</v>
      </c>
      <c r="H26" s="15" t="s">
        <v>583</v>
      </c>
      <c r="I26" s="15" t="s">
        <v>19</v>
      </c>
      <c r="J26" s="15" t="s">
        <v>58</v>
      </c>
      <c r="K26" s="15" t="s">
        <v>584</v>
      </c>
    </row>
    <row r="27" ht="60.0" customHeight="1">
      <c r="A27" s="15" t="s">
        <v>585</v>
      </c>
      <c r="B27" s="17" t="s">
        <v>10</v>
      </c>
      <c r="C27" s="15" t="s">
        <v>44</v>
      </c>
      <c r="D27" s="15" t="s">
        <v>586</v>
      </c>
      <c r="E27" s="15" t="s">
        <v>587</v>
      </c>
      <c r="F27" s="15" t="s">
        <v>588</v>
      </c>
      <c r="G27" s="15" t="s">
        <v>589</v>
      </c>
      <c r="H27" s="15" t="s">
        <v>590</v>
      </c>
      <c r="I27" s="15" t="s">
        <v>17</v>
      </c>
      <c r="J27" s="15" t="s">
        <v>58</v>
      </c>
      <c r="K27" s="15" t="s">
        <v>591</v>
      </c>
    </row>
    <row r="28" ht="60.0" customHeight="1">
      <c r="A28" s="15" t="s">
        <v>592</v>
      </c>
      <c r="B28" s="17" t="s">
        <v>10</v>
      </c>
      <c r="C28" s="15" t="s">
        <v>44</v>
      </c>
      <c r="D28" s="15" t="s">
        <v>593</v>
      </c>
      <c r="E28" s="15" t="s">
        <v>594</v>
      </c>
      <c r="F28" s="15" t="s">
        <v>595</v>
      </c>
      <c r="G28" s="15" t="s">
        <v>596</v>
      </c>
      <c r="H28" s="15" t="s">
        <v>597</v>
      </c>
      <c r="I28" s="15" t="s">
        <v>19</v>
      </c>
      <c r="J28" s="15" t="s">
        <v>58</v>
      </c>
      <c r="K28" s="15" t="s">
        <v>598</v>
      </c>
    </row>
    <row r="29" ht="60.0" customHeight="1">
      <c r="A29" s="15" t="s">
        <v>599</v>
      </c>
      <c r="B29" s="17" t="s">
        <v>10</v>
      </c>
      <c r="C29" s="15" t="s">
        <v>44</v>
      </c>
      <c r="D29" s="15" t="s">
        <v>593</v>
      </c>
      <c r="E29" s="15" t="s">
        <v>600</v>
      </c>
      <c r="F29" s="15" t="s">
        <v>601</v>
      </c>
      <c r="G29" s="15" t="s">
        <v>602</v>
      </c>
      <c r="H29" s="15" t="s">
        <v>603</v>
      </c>
      <c r="I29" s="15" t="s">
        <v>17</v>
      </c>
      <c r="J29" s="15" t="s">
        <v>58</v>
      </c>
      <c r="K29" s="15" t="s">
        <v>604</v>
      </c>
    </row>
    <row r="30" ht="60.0" customHeight="1">
      <c r="A30" s="15" t="s">
        <v>605</v>
      </c>
      <c r="B30" s="17" t="s">
        <v>10</v>
      </c>
      <c r="C30" s="15" t="s">
        <v>44</v>
      </c>
      <c r="D30" s="15" t="s">
        <v>606</v>
      </c>
      <c r="E30" s="15" t="s">
        <v>607</v>
      </c>
      <c r="F30" s="15" t="s">
        <v>608</v>
      </c>
      <c r="G30" s="15" t="s">
        <v>609</v>
      </c>
      <c r="H30" s="15" t="s">
        <v>610</v>
      </c>
      <c r="I30" s="15" t="s">
        <v>19</v>
      </c>
      <c r="J30" s="15" t="s">
        <v>58</v>
      </c>
      <c r="K30" s="15" t="s">
        <v>611</v>
      </c>
    </row>
    <row r="31" ht="60.0" customHeight="1">
      <c r="A31" s="15" t="s">
        <v>612</v>
      </c>
      <c r="B31" s="17" t="s">
        <v>10</v>
      </c>
      <c r="C31" s="15" t="s">
        <v>46</v>
      </c>
      <c r="D31" s="15" t="s">
        <v>613</v>
      </c>
      <c r="E31" s="15" t="s">
        <v>614</v>
      </c>
      <c r="F31" s="15" t="s">
        <v>615</v>
      </c>
      <c r="G31" s="15" t="s">
        <v>616</v>
      </c>
      <c r="H31" s="15" t="s">
        <v>617</v>
      </c>
      <c r="I31" s="15" t="s">
        <v>19</v>
      </c>
      <c r="J31" s="15" t="s">
        <v>58</v>
      </c>
      <c r="K31" s="15" t="s">
        <v>531</v>
      </c>
    </row>
    <row r="32" ht="60.0" customHeight="1">
      <c r="A32" s="15" t="s">
        <v>618</v>
      </c>
      <c r="B32" s="17" t="s">
        <v>10</v>
      </c>
      <c r="C32" s="15" t="s">
        <v>46</v>
      </c>
      <c r="D32" s="15" t="s">
        <v>613</v>
      </c>
      <c r="E32" s="15" t="s">
        <v>619</v>
      </c>
      <c r="F32" s="15" t="s">
        <v>620</v>
      </c>
      <c r="G32" s="15" t="s">
        <v>621</v>
      </c>
      <c r="H32" s="15" t="s">
        <v>622</v>
      </c>
      <c r="I32" s="15" t="s">
        <v>19</v>
      </c>
      <c r="J32" s="15" t="s">
        <v>58</v>
      </c>
      <c r="K32" s="15" t="s">
        <v>537</v>
      </c>
    </row>
    <row r="33" ht="60.0" customHeight="1">
      <c r="A33" s="15" t="s">
        <v>623</v>
      </c>
      <c r="B33" s="17" t="s">
        <v>10</v>
      </c>
      <c r="C33" s="15" t="s">
        <v>46</v>
      </c>
      <c r="D33" s="15" t="s">
        <v>624</v>
      </c>
      <c r="E33" s="15" t="s">
        <v>625</v>
      </c>
      <c r="F33" s="15" t="s">
        <v>615</v>
      </c>
      <c r="G33" s="15" t="s">
        <v>626</v>
      </c>
      <c r="H33" s="15" t="s">
        <v>617</v>
      </c>
      <c r="I33" s="15" t="s">
        <v>19</v>
      </c>
      <c r="J33" s="15" t="s">
        <v>58</v>
      </c>
      <c r="K33" s="15" t="s">
        <v>544</v>
      </c>
    </row>
    <row r="34" ht="60.0" customHeight="1">
      <c r="A34" s="15" t="s">
        <v>627</v>
      </c>
      <c r="B34" s="17" t="s">
        <v>10</v>
      </c>
      <c r="C34" s="15" t="s">
        <v>46</v>
      </c>
      <c r="D34" s="15" t="s">
        <v>624</v>
      </c>
      <c r="E34" s="15" t="s">
        <v>628</v>
      </c>
      <c r="F34" s="15" t="s">
        <v>620</v>
      </c>
      <c r="G34" s="15" t="s">
        <v>629</v>
      </c>
      <c r="H34" s="15" t="s">
        <v>622</v>
      </c>
      <c r="I34" s="15" t="s">
        <v>19</v>
      </c>
      <c r="J34" s="15" t="s">
        <v>58</v>
      </c>
      <c r="K34" s="15" t="s">
        <v>551</v>
      </c>
    </row>
    <row r="35" ht="60.0" customHeight="1">
      <c r="A35" s="15" t="s">
        <v>637</v>
      </c>
      <c r="B35" s="17" t="s">
        <v>10</v>
      </c>
      <c r="C35" s="15" t="s">
        <v>46</v>
      </c>
      <c r="D35" s="15" t="s">
        <v>638</v>
      </c>
      <c r="E35" s="15" t="s">
        <v>639</v>
      </c>
      <c r="F35" s="15" t="s">
        <v>640</v>
      </c>
      <c r="G35" s="15" t="s">
        <v>641</v>
      </c>
      <c r="H35" s="15" t="s">
        <v>642</v>
      </c>
      <c r="I35" s="15" t="s">
        <v>17</v>
      </c>
      <c r="J35" s="15" t="s">
        <v>58</v>
      </c>
      <c r="K35" s="15" t="s">
        <v>643</v>
      </c>
    </row>
    <row r="36" ht="60.0" customHeight="1">
      <c r="A36" s="15" t="s">
        <v>644</v>
      </c>
      <c r="B36" s="17" t="s">
        <v>10</v>
      </c>
      <c r="C36" s="15" t="s">
        <v>46</v>
      </c>
      <c r="D36" s="15" t="s">
        <v>586</v>
      </c>
      <c r="E36" s="15" t="s">
        <v>645</v>
      </c>
      <c r="F36" s="15" t="s">
        <v>646</v>
      </c>
      <c r="G36" s="15" t="s">
        <v>647</v>
      </c>
      <c r="H36" s="15" t="s">
        <v>648</v>
      </c>
      <c r="I36" s="15" t="s">
        <v>17</v>
      </c>
      <c r="J36" s="15" t="s">
        <v>58</v>
      </c>
      <c r="K36" s="15" t="s">
        <v>649</v>
      </c>
    </row>
    <row r="37" ht="60.0" customHeight="1">
      <c r="A37" s="15" t="s">
        <v>650</v>
      </c>
      <c r="B37" s="17" t="s">
        <v>10</v>
      </c>
      <c r="C37" s="15" t="s">
        <v>46</v>
      </c>
      <c r="D37" s="15" t="s">
        <v>651</v>
      </c>
      <c r="E37" s="15" t="s">
        <v>652</v>
      </c>
      <c r="F37" s="15" t="s">
        <v>653</v>
      </c>
      <c r="G37" s="15" t="s">
        <v>654</v>
      </c>
      <c r="H37" s="15" t="s">
        <v>655</v>
      </c>
      <c r="I37" s="15" t="s">
        <v>17</v>
      </c>
      <c r="J37" s="15" t="s">
        <v>58</v>
      </c>
      <c r="K37" s="15" t="s">
        <v>656</v>
      </c>
    </row>
    <row r="38" ht="60.0" customHeight="1">
      <c r="A38" s="15" t="s">
        <v>657</v>
      </c>
      <c r="B38" s="17" t="s">
        <v>10</v>
      </c>
      <c r="C38" s="15" t="s">
        <v>46</v>
      </c>
      <c r="D38" s="15" t="s">
        <v>658</v>
      </c>
      <c r="E38" s="15" t="s">
        <v>659</v>
      </c>
      <c r="F38" s="15" t="s">
        <v>660</v>
      </c>
      <c r="G38" s="15" t="s">
        <v>661</v>
      </c>
      <c r="H38" s="15" t="s">
        <v>662</v>
      </c>
      <c r="I38" s="15" t="s">
        <v>17</v>
      </c>
      <c r="J38" s="15" t="s">
        <v>58</v>
      </c>
      <c r="K38" s="15" t="s">
        <v>663</v>
      </c>
    </row>
    <row r="39" ht="60.0" customHeight="1">
      <c r="A39" s="15" t="s">
        <v>664</v>
      </c>
      <c r="B39" s="17" t="s">
        <v>10</v>
      </c>
      <c r="C39" s="15" t="s">
        <v>48</v>
      </c>
      <c r="D39" s="15" t="s">
        <v>526</v>
      </c>
      <c r="E39" s="15" t="s">
        <v>665</v>
      </c>
      <c r="F39" s="15" t="s">
        <v>666</v>
      </c>
      <c r="G39" s="15" t="s">
        <v>667</v>
      </c>
      <c r="H39" s="15" t="s">
        <v>668</v>
      </c>
      <c r="I39" s="15" t="s">
        <v>19</v>
      </c>
      <c r="J39" s="15" t="s">
        <v>58</v>
      </c>
      <c r="K39" s="15" t="s">
        <v>531</v>
      </c>
    </row>
    <row r="40" ht="60.0" customHeight="1">
      <c r="A40" s="15" t="s">
        <v>669</v>
      </c>
      <c r="B40" s="17" t="s">
        <v>10</v>
      </c>
      <c r="C40" s="15" t="s">
        <v>48</v>
      </c>
      <c r="D40" s="15" t="s">
        <v>670</v>
      </c>
      <c r="E40" s="15" t="s">
        <v>671</v>
      </c>
      <c r="F40" s="15" t="s">
        <v>672</v>
      </c>
      <c r="G40" s="15" t="s">
        <v>673</v>
      </c>
      <c r="H40" s="15" t="s">
        <v>674</v>
      </c>
      <c r="I40" s="15" t="s">
        <v>19</v>
      </c>
      <c r="J40" s="15" t="s">
        <v>58</v>
      </c>
      <c r="K40" s="15" t="s">
        <v>537</v>
      </c>
    </row>
    <row r="41" ht="60.0" customHeight="1">
      <c r="A41" s="15" t="s">
        <v>675</v>
      </c>
      <c r="B41" s="17" t="s">
        <v>10</v>
      </c>
      <c r="C41" s="15" t="s">
        <v>48</v>
      </c>
      <c r="D41" s="15" t="s">
        <v>676</v>
      </c>
      <c r="E41" s="15" t="s">
        <v>677</v>
      </c>
      <c r="F41" s="15" t="s">
        <v>678</v>
      </c>
      <c r="G41" s="15" t="s">
        <v>679</v>
      </c>
      <c r="H41" s="15" t="s">
        <v>680</v>
      </c>
      <c r="I41" s="15" t="s">
        <v>19</v>
      </c>
      <c r="J41" s="15" t="s">
        <v>58</v>
      </c>
      <c r="K41" s="15" t="s">
        <v>681</v>
      </c>
    </row>
    <row r="42" ht="60.0" customHeight="1">
      <c r="A42" s="15" t="s">
        <v>682</v>
      </c>
      <c r="B42" s="17" t="s">
        <v>10</v>
      </c>
      <c r="C42" s="15" t="s">
        <v>48</v>
      </c>
      <c r="D42" s="15" t="s">
        <v>683</v>
      </c>
      <c r="E42" s="15" t="s">
        <v>684</v>
      </c>
      <c r="F42" s="15" t="s">
        <v>685</v>
      </c>
      <c r="G42" s="15" t="s">
        <v>686</v>
      </c>
      <c r="H42" s="15" t="s">
        <v>687</v>
      </c>
      <c r="I42" s="15" t="s">
        <v>19</v>
      </c>
      <c r="J42" s="15" t="s">
        <v>58</v>
      </c>
      <c r="K42" s="15" t="s">
        <v>551</v>
      </c>
    </row>
    <row r="43" ht="60.0" customHeight="1">
      <c r="A43" s="15" t="s">
        <v>688</v>
      </c>
      <c r="B43" s="17" t="s">
        <v>10</v>
      </c>
      <c r="C43" s="15" t="s">
        <v>48</v>
      </c>
      <c r="D43" s="15" t="s">
        <v>689</v>
      </c>
      <c r="E43" s="15" t="s">
        <v>690</v>
      </c>
      <c r="F43" s="15" t="s">
        <v>691</v>
      </c>
      <c r="G43" s="15" t="s">
        <v>692</v>
      </c>
      <c r="H43" s="15" t="s">
        <v>693</v>
      </c>
      <c r="I43" s="15" t="s">
        <v>19</v>
      </c>
      <c r="J43" s="15" t="s">
        <v>58</v>
      </c>
      <c r="K43" s="15" t="s">
        <v>636</v>
      </c>
    </row>
    <row r="44" ht="60.0" customHeight="1">
      <c r="A44" s="15" t="s">
        <v>694</v>
      </c>
      <c r="B44" s="17" t="s">
        <v>10</v>
      </c>
      <c r="C44" s="15" t="s">
        <v>48</v>
      </c>
      <c r="D44" s="15" t="s">
        <v>695</v>
      </c>
      <c r="E44" s="15" t="s">
        <v>696</v>
      </c>
      <c r="F44" s="15" t="s">
        <v>691</v>
      </c>
      <c r="G44" s="15" t="s">
        <v>697</v>
      </c>
      <c r="H44" s="15" t="s">
        <v>698</v>
      </c>
      <c r="I44" s="15" t="s">
        <v>19</v>
      </c>
      <c r="J44" s="15" t="s">
        <v>58</v>
      </c>
      <c r="K44" s="15" t="s">
        <v>699</v>
      </c>
    </row>
    <row r="45" ht="60.0" customHeight="1">
      <c r="A45" s="15" t="s">
        <v>700</v>
      </c>
      <c r="B45" s="17" t="s">
        <v>10</v>
      </c>
      <c r="C45" s="15" t="s">
        <v>48</v>
      </c>
      <c r="D45" s="15" t="s">
        <v>701</v>
      </c>
      <c r="E45" s="15" t="s">
        <v>702</v>
      </c>
      <c r="F45" s="15" t="s">
        <v>703</v>
      </c>
      <c r="G45" s="15" t="s">
        <v>704</v>
      </c>
      <c r="H45" s="15" t="s">
        <v>705</v>
      </c>
      <c r="I45" s="15" t="s">
        <v>19</v>
      </c>
      <c r="J45" s="15" t="s">
        <v>58</v>
      </c>
      <c r="K45" s="15" t="s">
        <v>706</v>
      </c>
    </row>
    <row r="46" ht="60.0" customHeight="1">
      <c r="A46" s="15" t="s">
        <v>707</v>
      </c>
      <c r="B46" s="17" t="s">
        <v>10</v>
      </c>
      <c r="C46" s="15" t="s">
        <v>48</v>
      </c>
      <c r="D46" s="15" t="s">
        <v>708</v>
      </c>
      <c r="E46" s="15" t="s">
        <v>709</v>
      </c>
      <c r="F46" s="15" t="s">
        <v>710</v>
      </c>
      <c r="G46" s="15" t="s">
        <v>711</v>
      </c>
      <c r="H46" s="15" t="s">
        <v>712</v>
      </c>
      <c r="I46" s="15" t="s">
        <v>19</v>
      </c>
      <c r="J46" s="15" t="s">
        <v>58</v>
      </c>
      <c r="K46" s="15" t="s">
        <v>643</v>
      </c>
    </row>
    <row r="47" ht="60.0" customHeight="1">
      <c r="A47" s="15" t="s">
        <v>713</v>
      </c>
      <c r="B47" s="17" t="s">
        <v>10</v>
      </c>
      <c r="C47" s="15" t="s">
        <v>48</v>
      </c>
      <c r="D47" s="15" t="s">
        <v>714</v>
      </c>
      <c r="E47" s="15" t="s">
        <v>715</v>
      </c>
      <c r="F47" s="15" t="s">
        <v>716</v>
      </c>
      <c r="G47" s="15" t="s">
        <v>717</v>
      </c>
      <c r="H47" s="15" t="s">
        <v>718</v>
      </c>
      <c r="I47" s="15" t="s">
        <v>19</v>
      </c>
      <c r="J47" s="15" t="s">
        <v>58</v>
      </c>
      <c r="K47" s="15" t="s">
        <v>719</v>
      </c>
    </row>
    <row r="48" ht="60.0" customHeight="1">
      <c r="A48" s="15" t="s">
        <v>720</v>
      </c>
      <c r="B48" s="17" t="s">
        <v>10</v>
      </c>
      <c r="C48" s="15" t="s">
        <v>48</v>
      </c>
      <c r="D48" s="15" t="s">
        <v>721</v>
      </c>
      <c r="E48" s="15" t="s">
        <v>722</v>
      </c>
      <c r="F48" s="15" t="s">
        <v>716</v>
      </c>
      <c r="G48" s="15" t="s">
        <v>723</v>
      </c>
      <c r="H48" s="15" t="s">
        <v>724</v>
      </c>
      <c r="I48" s="15" t="s">
        <v>19</v>
      </c>
      <c r="J48" s="15" t="s">
        <v>58</v>
      </c>
      <c r="K48" s="15" t="s">
        <v>725</v>
      </c>
    </row>
    <row r="49" ht="60.0" customHeight="1">
      <c r="A49" s="15" t="s">
        <v>726</v>
      </c>
      <c r="B49" s="17" t="s">
        <v>10</v>
      </c>
      <c r="C49" s="15" t="s">
        <v>48</v>
      </c>
      <c r="D49" s="15" t="s">
        <v>658</v>
      </c>
      <c r="E49" s="15" t="s">
        <v>727</v>
      </c>
      <c r="F49" s="15" t="s">
        <v>728</v>
      </c>
      <c r="G49" s="15" t="s">
        <v>729</v>
      </c>
      <c r="H49" s="15" t="s">
        <v>730</v>
      </c>
      <c r="I49" s="15" t="s">
        <v>19</v>
      </c>
      <c r="J49" s="15" t="s">
        <v>58</v>
      </c>
      <c r="K49" s="15" t="s">
        <v>731</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0.0"/>
    <col customWidth="1" min="3" max="3" width="25.0"/>
    <col customWidth="1" min="4" max="4" width="20.0"/>
    <col customWidth="1" min="5" max="5" width="40.0"/>
    <col customWidth="1" min="6" max="6" width="35.0"/>
    <col customWidth="1" min="7" max="7" width="50.0"/>
    <col customWidth="1" min="8" max="8" width="40.0"/>
    <col customWidth="1" min="9" max="10" width="15.0"/>
    <col customWidth="1" min="11" max="11" width="30.0"/>
    <col customWidth="1" min="12" max="26" width="8.71"/>
  </cols>
  <sheetData>
    <row r="1">
      <c r="A1" s="14" t="s">
        <v>70</v>
      </c>
      <c r="B1" s="14" t="s">
        <v>71</v>
      </c>
      <c r="C1" s="14" t="s">
        <v>60</v>
      </c>
      <c r="D1" s="14" t="s">
        <v>34</v>
      </c>
      <c r="E1" s="14" t="s">
        <v>72</v>
      </c>
      <c r="F1" s="14" t="s">
        <v>73</v>
      </c>
      <c r="G1" s="14" t="s">
        <v>74</v>
      </c>
      <c r="H1" s="14" t="s">
        <v>75</v>
      </c>
      <c r="I1" s="14" t="s">
        <v>68</v>
      </c>
      <c r="J1" s="14" t="s">
        <v>76</v>
      </c>
      <c r="K1" s="14" t="s">
        <v>77</v>
      </c>
    </row>
    <row r="2" ht="60.0" customHeight="1">
      <c r="A2" s="15" t="s">
        <v>406</v>
      </c>
      <c r="B2" s="18" t="s">
        <v>12</v>
      </c>
      <c r="C2" s="15" t="s">
        <v>66</v>
      </c>
      <c r="D2" s="15" t="s">
        <v>407</v>
      </c>
      <c r="E2" s="15" t="s">
        <v>408</v>
      </c>
      <c r="F2" s="15" t="s">
        <v>409</v>
      </c>
      <c r="G2" s="15" t="s">
        <v>410</v>
      </c>
      <c r="H2" s="15" t="s">
        <v>411</v>
      </c>
      <c r="I2" s="15" t="s">
        <v>19</v>
      </c>
      <c r="J2" s="15" t="s">
        <v>58</v>
      </c>
      <c r="K2" s="15"/>
    </row>
    <row r="3" ht="60.0" customHeight="1">
      <c r="A3" s="15" t="s">
        <v>412</v>
      </c>
      <c r="B3" s="18" t="s">
        <v>12</v>
      </c>
      <c r="C3" s="15" t="s">
        <v>66</v>
      </c>
      <c r="D3" s="15" t="s">
        <v>413</v>
      </c>
      <c r="E3" s="15" t="s">
        <v>414</v>
      </c>
      <c r="F3" s="15" t="s">
        <v>415</v>
      </c>
      <c r="G3" s="15" t="s">
        <v>416</v>
      </c>
      <c r="H3" s="15" t="s">
        <v>417</v>
      </c>
      <c r="I3" s="15" t="s">
        <v>19</v>
      </c>
      <c r="J3" s="15" t="s">
        <v>58</v>
      </c>
      <c r="K3" s="15"/>
    </row>
    <row r="4" ht="60.0" customHeight="1">
      <c r="A4" s="15" t="s">
        <v>418</v>
      </c>
      <c r="B4" s="18" t="s">
        <v>12</v>
      </c>
      <c r="C4" s="15" t="s">
        <v>66</v>
      </c>
      <c r="D4" s="15" t="s">
        <v>419</v>
      </c>
      <c r="E4" s="15" t="s">
        <v>420</v>
      </c>
      <c r="F4" s="15" t="s">
        <v>421</v>
      </c>
      <c r="G4" s="15" t="s">
        <v>422</v>
      </c>
      <c r="H4" s="15" t="s">
        <v>423</v>
      </c>
      <c r="I4" s="15" t="s">
        <v>19</v>
      </c>
      <c r="J4" s="15" t="s">
        <v>58</v>
      </c>
      <c r="K4" s="15"/>
    </row>
    <row r="5" ht="60.0" customHeight="1">
      <c r="A5" s="15" t="s">
        <v>424</v>
      </c>
      <c r="B5" s="18" t="s">
        <v>12</v>
      </c>
      <c r="C5" s="15" t="s">
        <v>65</v>
      </c>
      <c r="D5" s="15" t="s">
        <v>425</v>
      </c>
      <c r="E5" s="15" t="s">
        <v>426</v>
      </c>
      <c r="F5" s="15" t="s">
        <v>427</v>
      </c>
      <c r="G5" s="15" t="s">
        <v>428</v>
      </c>
      <c r="H5" s="15" t="s">
        <v>429</v>
      </c>
      <c r="I5" s="15" t="s">
        <v>15</v>
      </c>
      <c r="J5" s="15" t="s">
        <v>58</v>
      </c>
      <c r="K5" s="15"/>
    </row>
    <row r="6" ht="60.0" customHeight="1">
      <c r="A6" s="15" t="s">
        <v>430</v>
      </c>
      <c r="B6" s="18" t="s">
        <v>12</v>
      </c>
      <c r="C6" s="15" t="s">
        <v>65</v>
      </c>
      <c r="D6" s="15" t="s">
        <v>431</v>
      </c>
      <c r="E6" s="15" t="s">
        <v>432</v>
      </c>
      <c r="F6" s="15" t="s">
        <v>433</v>
      </c>
      <c r="G6" s="15" t="s">
        <v>434</v>
      </c>
      <c r="H6" s="15" t="s">
        <v>435</v>
      </c>
      <c r="I6" s="15" t="s">
        <v>17</v>
      </c>
      <c r="J6" s="15" t="s">
        <v>58</v>
      </c>
      <c r="K6" s="15"/>
    </row>
    <row r="7" ht="60.0" customHeight="1">
      <c r="A7" s="15" t="s">
        <v>436</v>
      </c>
      <c r="B7" s="18" t="s">
        <v>12</v>
      </c>
      <c r="C7" s="15" t="s">
        <v>65</v>
      </c>
      <c r="D7" s="15" t="s">
        <v>437</v>
      </c>
      <c r="E7" s="15" t="s">
        <v>438</v>
      </c>
      <c r="F7" s="15" t="s">
        <v>439</v>
      </c>
      <c r="G7" s="15" t="s">
        <v>440</v>
      </c>
      <c r="H7" s="15" t="s">
        <v>441</v>
      </c>
      <c r="I7" s="15" t="s">
        <v>17</v>
      </c>
      <c r="J7" s="15" t="s">
        <v>58</v>
      </c>
      <c r="K7" s="15"/>
    </row>
    <row r="8" ht="60.0" customHeight="1">
      <c r="A8" s="15" t="s">
        <v>442</v>
      </c>
      <c r="B8" s="18" t="s">
        <v>12</v>
      </c>
      <c r="C8" s="15" t="s">
        <v>65</v>
      </c>
      <c r="D8" s="15" t="s">
        <v>443</v>
      </c>
      <c r="E8" s="15" t="s">
        <v>444</v>
      </c>
      <c r="F8" s="15" t="s">
        <v>445</v>
      </c>
      <c r="G8" s="15" t="s">
        <v>446</v>
      </c>
      <c r="H8" s="15" t="s">
        <v>447</v>
      </c>
      <c r="I8" s="15" t="s">
        <v>21</v>
      </c>
      <c r="J8" s="15" t="s">
        <v>58</v>
      </c>
      <c r="K8" s="15" t="s">
        <v>448</v>
      </c>
    </row>
    <row r="9" ht="60.0" customHeight="1">
      <c r="A9" s="15" t="s">
        <v>449</v>
      </c>
      <c r="B9" s="18" t="s">
        <v>12</v>
      </c>
      <c r="C9" s="15" t="s">
        <v>65</v>
      </c>
      <c r="D9" s="15" t="s">
        <v>450</v>
      </c>
      <c r="E9" s="15" t="s">
        <v>451</v>
      </c>
      <c r="F9" s="15" t="s">
        <v>452</v>
      </c>
      <c r="G9" s="15" t="s">
        <v>453</v>
      </c>
      <c r="H9" s="15" t="s">
        <v>454</v>
      </c>
      <c r="I9" s="15" t="s">
        <v>21</v>
      </c>
      <c r="J9" s="15" t="s">
        <v>58</v>
      </c>
      <c r="K9" s="15" t="s">
        <v>448</v>
      </c>
    </row>
    <row r="10" ht="60.0" customHeight="1">
      <c r="A10" s="15" t="s">
        <v>455</v>
      </c>
      <c r="B10" s="18" t="s">
        <v>12</v>
      </c>
      <c r="C10" s="15" t="s">
        <v>65</v>
      </c>
      <c r="D10" s="15" t="s">
        <v>456</v>
      </c>
      <c r="E10" s="15" t="s">
        <v>457</v>
      </c>
      <c r="F10" s="15" t="s">
        <v>458</v>
      </c>
      <c r="G10" s="15" t="s">
        <v>459</v>
      </c>
      <c r="H10" s="15" t="s">
        <v>460</v>
      </c>
      <c r="I10" s="15" t="s">
        <v>21</v>
      </c>
      <c r="J10" s="15" t="s">
        <v>58</v>
      </c>
      <c r="K10" s="15" t="s">
        <v>461</v>
      </c>
    </row>
    <row r="11" ht="60.0" customHeight="1">
      <c r="A11" s="15" t="s">
        <v>462</v>
      </c>
      <c r="B11" s="18" t="s">
        <v>12</v>
      </c>
      <c r="C11" s="15" t="s">
        <v>65</v>
      </c>
      <c r="D11" s="15" t="s">
        <v>463</v>
      </c>
      <c r="E11" s="15" t="s">
        <v>464</v>
      </c>
      <c r="F11" s="15" t="s">
        <v>465</v>
      </c>
      <c r="G11" s="15" t="s">
        <v>466</v>
      </c>
      <c r="H11" s="15" t="s">
        <v>467</v>
      </c>
      <c r="I11" s="15" t="s">
        <v>21</v>
      </c>
      <c r="J11" s="15" t="s">
        <v>58</v>
      </c>
      <c r="K11" s="15" t="s">
        <v>448</v>
      </c>
    </row>
    <row r="12" ht="60.0" customHeight="1">
      <c r="A12" s="15" t="s">
        <v>468</v>
      </c>
      <c r="B12" s="18" t="s">
        <v>12</v>
      </c>
      <c r="C12" s="15" t="s">
        <v>65</v>
      </c>
      <c r="D12" s="15" t="s">
        <v>469</v>
      </c>
      <c r="E12" s="15" t="s">
        <v>470</v>
      </c>
      <c r="F12" s="15" t="s">
        <v>471</v>
      </c>
      <c r="G12" s="15" t="s">
        <v>472</v>
      </c>
      <c r="H12" s="15" t="s">
        <v>473</v>
      </c>
      <c r="I12" s="15" t="s">
        <v>21</v>
      </c>
      <c r="J12" s="15" t="s">
        <v>58</v>
      </c>
      <c r="K12" s="15" t="s">
        <v>474</v>
      </c>
    </row>
    <row r="13" ht="60.0" customHeight="1">
      <c r="A13" s="15" t="s">
        <v>475</v>
      </c>
      <c r="B13" s="18" t="s">
        <v>12</v>
      </c>
      <c r="C13" s="15" t="s">
        <v>65</v>
      </c>
      <c r="D13" s="15" t="s">
        <v>476</v>
      </c>
      <c r="E13" s="15" t="s">
        <v>477</v>
      </c>
      <c r="F13" s="15" t="s">
        <v>478</v>
      </c>
      <c r="G13" s="15" t="s">
        <v>479</v>
      </c>
      <c r="H13" s="15" t="s">
        <v>480</v>
      </c>
      <c r="I13" s="15" t="s">
        <v>21</v>
      </c>
      <c r="J13" s="15" t="s">
        <v>58</v>
      </c>
      <c r="K13" s="15" t="s">
        <v>474</v>
      </c>
    </row>
    <row r="14" ht="60.0" customHeight="1">
      <c r="A14" s="15" t="s">
        <v>481</v>
      </c>
      <c r="B14" s="18" t="s">
        <v>12</v>
      </c>
      <c r="C14" s="15" t="s">
        <v>65</v>
      </c>
      <c r="D14" s="15" t="s">
        <v>482</v>
      </c>
      <c r="E14" s="15" t="s">
        <v>483</v>
      </c>
      <c r="F14" s="15" t="s">
        <v>484</v>
      </c>
      <c r="G14" s="15" t="s">
        <v>485</v>
      </c>
      <c r="H14" s="15" t="s">
        <v>486</v>
      </c>
      <c r="I14" s="15" t="s">
        <v>21</v>
      </c>
      <c r="J14" s="15" t="s">
        <v>58</v>
      </c>
      <c r="K14" s="15" t="s">
        <v>474</v>
      </c>
    </row>
    <row r="15" ht="60.0" customHeight="1">
      <c r="A15" s="15" t="s">
        <v>487</v>
      </c>
      <c r="B15" s="18" t="s">
        <v>12</v>
      </c>
      <c r="C15" s="15" t="s">
        <v>488</v>
      </c>
      <c r="D15" s="15" t="s">
        <v>489</v>
      </c>
      <c r="E15" s="15" t="s">
        <v>490</v>
      </c>
      <c r="F15" s="15" t="s">
        <v>491</v>
      </c>
      <c r="G15" s="15" t="s">
        <v>492</v>
      </c>
      <c r="H15" s="15" t="s">
        <v>493</v>
      </c>
      <c r="I15" s="15" t="s">
        <v>19</v>
      </c>
      <c r="J15" s="15" t="s">
        <v>58</v>
      </c>
      <c r="K15" s="15"/>
    </row>
    <row r="16" ht="60.0" customHeight="1">
      <c r="A16" s="15" t="s">
        <v>494</v>
      </c>
      <c r="B16" s="18" t="s">
        <v>12</v>
      </c>
      <c r="C16" s="15" t="s">
        <v>488</v>
      </c>
      <c r="D16" s="15" t="s">
        <v>495</v>
      </c>
      <c r="E16" s="15" t="s">
        <v>496</v>
      </c>
      <c r="F16" s="15" t="s">
        <v>497</v>
      </c>
      <c r="G16" s="15" t="s">
        <v>498</v>
      </c>
      <c r="H16" s="15" t="s">
        <v>499</v>
      </c>
      <c r="I16" s="15" t="s">
        <v>17</v>
      </c>
      <c r="J16" s="15" t="s">
        <v>58</v>
      </c>
      <c r="K16" s="15"/>
    </row>
    <row r="17" ht="60.0" customHeight="1">
      <c r="A17" s="15" t="s">
        <v>500</v>
      </c>
      <c r="B17" s="18" t="s">
        <v>12</v>
      </c>
      <c r="C17" s="15" t="s">
        <v>501</v>
      </c>
      <c r="D17" s="15" t="s">
        <v>300</v>
      </c>
      <c r="E17" s="15" t="s">
        <v>502</v>
      </c>
      <c r="F17" s="15" t="s">
        <v>503</v>
      </c>
      <c r="G17" s="15" t="s">
        <v>504</v>
      </c>
      <c r="H17" s="15" t="s">
        <v>505</v>
      </c>
      <c r="I17" s="15" t="s">
        <v>15</v>
      </c>
      <c r="J17" s="15" t="s">
        <v>58</v>
      </c>
      <c r="K17" s="15"/>
    </row>
    <row r="18" ht="60.0" customHeight="1">
      <c r="A18" s="15" t="s">
        <v>506</v>
      </c>
      <c r="B18" s="18" t="s">
        <v>12</v>
      </c>
      <c r="C18" s="15" t="s">
        <v>501</v>
      </c>
      <c r="D18" s="15" t="s">
        <v>507</v>
      </c>
      <c r="E18" s="15" t="s">
        <v>508</v>
      </c>
      <c r="F18" s="15" t="s">
        <v>509</v>
      </c>
      <c r="G18" s="15" t="s">
        <v>510</v>
      </c>
      <c r="H18" s="15" t="s">
        <v>511</v>
      </c>
      <c r="I18" s="15" t="s">
        <v>15</v>
      </c>
      <c r="J18" s="15" t="s">
        <v>58</v>
      </c>
      <c r="K18" s="15"/>
    </row>
    <row r="19" ht="60.0" customHeight="1">
      <c r="A19" s="15" t="s">
        <v>512</v>
      </c>
      <c r="B19" s="18" t="s">
        <v>12</v>
      </c>
      <c r="C19" s="15" t="s">
        <v>513</v>
      </c>
      <c r="D19" s="15" t="s">
        <v>514</v>
      </c>
      <c r="E19" s="15" t="s">
        <v>515</v>
      </c>
      <c r="F19" s="15" t="s">
        <v>516</v>
      </c>
      <c r="G19" s="15" t="s">
        <v>517</v>
      </c>
      <c r="H19" s="15" t="s">
        <v>518</v>
      </c>
      <c r="I19" s="15" t="s">
        <v>17</v>
      </c>
      <c r="J19" s="15" t="s">
        <v>58</v>
      </c>
      <c r="K19" s="15"/>
    </row>
    <row r="20" ht="60.0" customHeight="1">
      <c r="A20" s="15" t="s">
        <v>519</v>
      </c>
      <c r="B20" s="18" t="s">
        <v>12</v>
      </c>
      <c r="C20" s="15" t="s">
        <v>513</v>
      </c>
      <c r="D20" s="15" t="s">
        <v>520</v>
      </c>
      <c r="E20" s="15" t="s">
        <v>521</v>
      </c>
      <c r="F20" s="15" t="s">
        <v>522</v>
      </c>
      <c r="G20" s="15" t="s">
        <v>523</v>
      </c>
      <c r="H20" s="15" t="s">
        <v>524</v>
      </c>
      <c r="I20" s="15" t="s">
        <v>19</v>
      </c>
      <c r="J20" s="15" t="s">
        <v>58</v>
      </c>
      <c r="K20" s="15"/>
    </row>
    <row r="21" ht="60.0" customHeight="1">
      <c r="A21" s="15" t="s">
        <v>630</v>
      </c>
      <c r="B21" s="18" t="s">
        <v>12</v>
      </c>
      <c r="C21" s="15" t="s">
        <v>46</v>
      </c>
      <c r="D21" s="15" t="s">
        <v>631</v>
      </c>
      <c r="E21" s="15" t="s">
        <v>632</v>
      </c>
      <c r="F21" s="15" t="s">
        <v>633</v>
      </c>
      <c r="G21" s="15" t="s">
        <v>634</v>
      </c>
      <c r="H21" s="15" t="s">
        <v>635</v>
      </c>
      <c r="I21" s="15" t="s">
        <v>19</v>
      </c>
      <c r="J21" s="15" t="s">
        <v>58</v>
      </c>
      <c r="K21" s="15" t="s">
        <v>636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2025-11-28T13:29:01Z</dcterms:created>
  <dc:creator>openpyxl</dc:creator>
</cp:coreProperties>
</file>